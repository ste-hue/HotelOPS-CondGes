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i x asset" sheetId="1" r:id="rId4"/>
    <sheet state="visible" name="Ricavi Hotel per asset" sheetId="2" r:id="rId5"/>
    <sheet state="visible" name="costi-ricavi totali" sheetId="3" r:id="rId6"/>
    <sheet state="visible" name="Ricavi Gruppo x asset" sheetId="4" r:id="rId7"/>
    <sheet state="visible" name="incidenza costi-ricavi" sheetId="5" r:id="rId8"/>
  </sheets>
  <definedNames>
    <definedName hidden="1" localSheetId="3" name="_xlnm._FilterDatabase">'Ricavi Gruppo x asset'!$A$1:$Q$26</definedName>
  </definedNames>
  <calcPr/>
  <extLst>
    <ext uri="GoogleSheetsCustomDataVersion2">
      <go:sheetsCustomData xmlns:go="http://customooxmlschemas.google.com/" r:id="rId9" roundtripDataChecksum="7dENLSdP0sn2hkm1MlLTdCIntGeB5ISwSmH46BNm1hI="/>
    </ext>
  </extLst>
</workbook>
</file>

<file path=xl/sharedStrings.xml><?xml version="1.0" encoding="utf-8"?>
<sst xmlns="http://schemas.openxmlformats.org/spreadsheetml/2006/main" count="310" uniqueCount="67">
  <si>
    <t xml:space="preserve">HOTEL </t>
  </si>
  <si>
    <t>***</t>
  </si>
  <si>
    <t xml:space="preserve">RESIDENCE </t>
  </si>
  <si>
    <t>PERSONALE</t>
  </si>
  <si>
    <t>PRODUZIONE</t>
  </si>
  <si>
    <t>GESTIONE E FIN.</t>
  </si>
  <si>
    <t>COMMERCIAL.</t>
  </si>
  <si>
    <t>COSTI</t>
  </si>
  <si>
    <t>budget</t>
  </si>
  <si>
    <t>Budget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</si>
  <si>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</si>
  <si>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</si>
  <si>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</si>
  <si>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</si>
  <si>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</si>
  <si>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</si>
  <si>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</si>
  <si>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</si>
  <si>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</si>
  <si>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</si>
  <si>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</si>
  <si>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</si>
  <si>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TOTALI</t>
  </si>
  <si>
    <t>incidenza sui costi totali</t>
  </si>
  <si>
    <t>C.V.M.</t>
  </si>
  <si>
    <r>
      <rPr>
        <rFont val="Calibri"/>
        <b/>
        <color rgb="FFC00000"/>
        <sz val="12.0"/>
      </rPr>
      <t>legenda</t>
    </r>
    <r>
      <rPr>
        <rFont val="Calibri"/>
        <b/>
        <color theme="1"/>
        <sz val="12.0"/>
      </rPr>
      <t xml:space="preserve"> </t>
    </r>
    <r>
      <rPr>
        <rFont val="Calibri"/>
        <b val="0"/>
        <i/>
        <color theme="1"/>
        <sz val="10.0"/>
      </rPr>
      <t xml:space="preserve">(ipotesi voci per singolo capitolo di spesa) </t>
    </r>
  </si>
  <si>
    <r>
      <rPr>
        <rFont val="Calibri"/>
        <b/>
        <color rgb="FFC00000"/>
        <sz val="8.0"/>
      </rPr>
      <t>costi produzione hotel</t>
    </r>
    <r>
      <rPr>
        <rFont val="Calibri"/>
        <color theme="1"/>
        <sz val="8.0"/>
      </rPr>
      <t xml:space="preserve"> ( tutti i costi variabili in relazione all'erogazione dei servizi e in rapporto ai clienti) </t>
    </r>
  </si>
  <si>
    <t>costi per acquisti materiale( prodotti di consumo per ristorazione e camere)</t>
  </si>
  <si>
    <t xml:space="preserve">costi per manuntenzione di allestimento/rispristino (ottica problem solving) </t>
  </si>
  <si>
    <t>costi per lavenderia e biancheria</t>
  </si>
  <si>
    <r>
      <rPr>
        <rFont val="Calibri"/>
        <b/>
        <color rgb="FFC00000"/>
        <sz val="8.0"/>
      </rPr>
      <t>costi gestione e fin</t>
    </r>
    <r>
      <rPr>
        <rFont val="Calibri"/>
        <color rgb="FFC00000"/>
        <sz val="8.0"/>
      </rPr>
      <t xml:space="preserve">. </t>
    </r>
    <r>
      <rPr>
        <rFont val="Calibri"/>
        <color theme="1"/>
        <sz val="8.0"/>
      </rPr>
      <t>( tutti i costi che si devono sostenere indipendentemente dal flusso di clienti)</t>
    </r>
  </si>
  <si>
    <t>costi affitto o rate del mutuo, tasse sulla proprietà, imposte e licenze</t>
  </si>
  <si>
    <t xml:space="preserve">assicurazioni e spese amministrative ( commercialista, software gestionali , cancelleria,consulenti, CCIA Associazione  ecc) </t>
  </si>
  <si>
    <t>manutenzione ordinaria: spese periodiche per la conservazione della struttura e degli impianti</t>
  </si>
  <si>
    <t xml:space="preserve">utenze </t>
  </si>
  <si>
    <r>
      <rPr>
        <rFont val="Calibri"/>
        <b/>
        <color rgb="FFC00000"/>
        <sz val="8.0"/>
      </rPr>
      <t>costi commerciali hotel</t>
    </r>
    <r>
      <rPr>
        <rFont val="Calibri"/>
        <b/>
        <color theme="1"/>
        <sz val="8.0"/>
      </rPr>
      <t xml:space="preserve"> </t>
    </r>
    <r>
      <rPr>
        <rFont val="Calibri"/>
        <color theme="1"/>
        <sz val="8.0"/>
      </rPr>
      <t xml:space="preserve"> (tutte le spese per la promozione e commercializzazione della struttura) </t>
    </r>
  </si>
  <si>
    <t xml:space="preserve">marketing  e pubblicità  (eventi, promo, campagne on/off line) </t>
  </si>
  <si>
    <t xml:space="preserve">comunicazione on/off line (gestione social organico, web site, depliant, brand identity, info clienti ecc) </t>
  </si>
  <si>
    <t>azioni di vendita e commissioni ( costo per sales e relative attività, commissioni on/off line)</t>
  </si>
  <si>
    <t xml:space="preserve">SOGGIORNI </t>
  </si>
  <si>
    <t xml:space="preserve">RISTORANTE </t>
  </si>
  <si>
    <t xml:space="preserve">EXTRA </t>
  </si>
  <si>
    <t>TOTALI  MESE</t>
  </si>
  <si>
    <t>RICAVI</t>
  </si>
  <si>
    <t>2025/2024</t>
  </si>
  <si>
    <t>2025/Bdg</t>
  </si>
  <si>
    <t>2024</t>
  </si>
  <si>
    <t>2025</t>
  </si>
  <si>
    <t xml:space="preserve">budget </t>
  </si>
  <si>
    <t>PROGRESSIVO</t>
  </si>
  <si>
    <t>RICAVI TOTALI</t>
  </si>
  <si>
    <t>Agg. 01/08/2025</t>
  </si>
  <si>
    <t>CVM</t>
  </si>
  <si>
    <t>COSTI TOTALI</t>
  </si>
  <si>
    <t>202/2024</t>
  </si>
  <si>
    <t>HOTEL</t>
  </si>
  <si>
    <t>RESIDENCE</t>
  </si>
  <si>
    <t>COSTI PROD.</t>
  </si>
  <si>
    <t>PRIMO MARGINE</t>
  </si>
  <si>
    <t xml:space="preserve">C.V.M. </t>
  </si>
  <si>
    <t>Ricavi</t>
  </si>
  <si>
    <t>Costi (%)</t>
  </si>
  <si>
    <t>€</t>
  </si>
  <si>
    <t>Personale</t>
  </si>
  <si>
    <t>Produzione</t>
  </si>
  <si>
    <t>Gest. e Fin.</t>
  </si>
  <si>
    <t>Commerciale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</si>
</sst>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€&quot;\ * #,##0.00_-;\-&quot;€&quot;\ * #,##0.00_-;_-&quot;€&quot;\ * &quot;-&quot;??_-;_-@"/>
    <numFmt numFmtId="165" formatCode="[$€]#,##0.00"/>
    <numFmt numFmtId="166" formatCode="_-* #,##0.00\ &quot;€&quot;_-;\-* #,##0.00\ &quot;€&quot;_-;_-* &quot;-&quot;??\ &quot;€&quot;_-;_-@"/>
  </numFmts>
  <fonts count="10">
    <font>
      <sz val="11.0"/>
      <color theme="1"/>
      <name val="Calibri"/>
      <scheme val="minor"/>
    </font>
    <font>
      <sz val="8.0"/>
      <color theme="1"/>
      <name val="Calibri"/>
    </font>
    <font>
      <b/>
      <sz val="8.0"/>
      <color theme="1"/>
      <name val="Calibri"/>
    </font>
    <font/>
    <font>
      <b/>
      <sz val="12.0"/>
      <color theme="1"/>
      <name val="Calibri"/>
    </font>
    <font>
      <b/>
      <sz val="8.0"/>
      <color theme="0"/>
      <name val="Calibri"/>
    </font>
    <font>
      <sz val="11.0"/>
      <color theme="1"/>
      <name val="Century Gothic"/>
    </font>
    <font>
      <b/>
      <sz val="8.0"/>
      <color theme="1"/>
      <name val="Century Gothic"/>
    </font>
    <font>
      <b/>
      <sz val="11.0"/>
      <color theme="0"/>
      <name val="Century Gothic"/>
    </font>
    <font>
      <b/>
      <sz val="8.0"/>
      <color theme="0"/>
      <name val="Century Gothic"/>
    </font>
  </fonts>
  <fills count="20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BDD6EE"/>
        <bgColor rgb="FFBDD6EE"/>
      </patternFill>
    </fill>
    <fill>
      <patternFill patternType="solid">
        <fgColor rgb="FFA8D08D"/>
        <bgColor rgb="FFA8D08D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ill="1" applyFont="1">
      <alignment horizontal="center"/>
    </xf>
    <xf borderId="1" fillId="0" fontId="2" numFmtId="0" xfId="0" applyBorder="1" applyFont="1"/>
    <xf borderId="2" fillId="4" fontId="2" numFmtId="0" xfId="0" applyAlignment="1" applyBorder="1" applyFill="1" applyFont="1">
      <alignment horizontal="center"/>
    </xf>
    <xf borderId="2" fillId="5" fontId="2" numFmtId="0" xfId="0" applyAlignment="1" applyBorder="1" applyFill="1" applyFont="1">
      <alignment horizontal="center"/>
    </xf>
    <xf borderId="2" fillId="6" fontId="2" numFmtId="0" xfId="0" applyAlignment="1" applyBorder="1" applyFill="1" applyFont="1">
      <alignment horizontal="center"/>
    </xf>
    <xf borderId="2" fillId="7" fontId="2" numFmtId="0" xfId="0" applyAlignment="1" applyBorder="1" applyFill="1" applyFont="1">
      <alignment horizontal="center"/>
    </xf>
    <xf borderId="1" fillId="4" fontId="2" numFmtId="0" xfId="0" applyBorder="1" applyFont="1"/>
    <xf borderId="1" fillId="5" fontId="2" numFmtId="0" xfId="0" applyBorder="1" applyFont="1"/>
    <xf borderId="1" fillId="6" fontId="2" numFmtId="0" xfId="0" applyBorder="1" applyFont="1"/>
    <xf borderId="1" fillId="7" fontId="2" numFmtId="0" xfId="0" applyBorder="1" applyFont="1"/>
    <xf borderId="1" fillId="4" fontId="1" numFmtId="164" xfId="0" applyBorder="1" applyFont="1" applyNumberFormat="1"/>
    <xf borderId="1" fillId="4" fontId="1" numFmtId="165" xfId="0" applyBorder="1" applyFont="1" applyNumberFormat="1"/>
    <xf borderId="1" fillId="5" fontId="1" numFmtId="164" xfId="0" applyBorder="1" applyFont="1" applyNumberFormat="1"/>
    <xf borderId="1" fillId="5" fontId="1" numFmtId="165" xfId="0" applyBorder="1" applyFont="1" applyNumberFormat="1"/>
    <xf borderId="1" fillId="6" fontId="1" numFmtId="164" xfId="0" applyBorder="1" applyFont="1" applyNumberFormat="1"/>
    <xf borderId="1" fillId="6" fontId="1" numFmtId="165" xfId="0" applyBorder="1" applyFont="1" applyNumberFormat="1"/>
    <xf borderId="1" fillId="8" fontId="1" numFmtId="164" xfId="0" applyBorder="1" applyFill="1" applyFont="1" applyNumberFormat="1"/>
    <xf borderId="1" fillId="8" fontId="1" numFmtId="165" xfId="0" applyBorder="1" applyFont="1" applyNumberFormat="1"/>
    <xf borderId="5" fillId="0" fontId="1" numFmtId="0" xfId="0" applyBorder="1" applyFont="1"/>
    <xf borderId="6" fillId="0" fontId="2" numFmtId="0" xfId="0" applyBorder="1" applyFont="1"/>
    <xf borderId="7" fillId="4" fontId="2" numFmtId="164" xfId="0" applyBorder="1" applyFont="1" applyNumberFormat="1"/>
    <xf borderId="7" fillId="5" fontId="2" numFmtId="164" xfId="0" applyBorder="1" applyFont="1" applyNumberFormat="1"/>
    <xf borderId="7" fillId="6" fontId="2" numFmtId="164" xfId="0" applyBorder="1" applyFont="1" applyNumberFormat="1"/>
    <xf borderId="7" fillId="7" fontId="2" numFmtId="164" xfId="0" applyBorder="1" applyFont="1" applyNumberFormat="1"/>
    <xf borderId="8" fillId="7" fontId="2" numFmtId="164" xfId="0" applyBorder="1" applyFont="1" applyNumberFormat="1"/>
    <xf borderId="4" fillId="0" fontId="2" numFmtId="0" xfId="0" applyBorder="1" applyFont="1"/>
    <xf borderId="9" fillId="0" fontId="2" numFmtId="0" xfId="0" applyAlignment="1" applyBorder="1" applyFont="1">
      <alignment horizontal="center" shrinkToFit="0" vertical="center" wrapText="1"/>
    </xf>
    <xf borderId="9" fillId="0" fontId="2" numFmtId="10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" numFmtId="10" xfId="0" applyBorder="1" applyFont="1" applyNumberFormat="1"/>
    <xf borderId="2" fillId="9" fontId="2" numFmtId="0" xfId="0" applyAlignment="1" applyBorder="1" applyFill="1" applyFont="1">
      <alignment horizontal="center"/>
    </xf>
    <xf borderId="2" fillId="10" fontId="4" numFmtId="0" xfId="0" applyAlignment="1" applyBorder="1" applyFill="1" applyFont="1">
      <alignment horizontal="center"/>
    </xf>
    <xf borderId="2" fillId="10" fontId="1" numFmtId="0" xfId="0" applyAlignment="1" applyBorder="1" applyFont="1">
      <alignment horizontal="left"/>
    </xf>
    <xf borderId="1" fillId="10" fontId="1" numFmtId="0" xfId="0" applyBorder="1" applyFont="1"/>
    <xf borderId="1" fillId="10" fontId="1" numFmtId="0" xfId="0" applyAlignment="1" applyBorder="1" applyFont="1">
      <alignment horizontal="left"/>
    </xf>
    <xf borderId="10" fillId="10" fontId="1" numFmtId="0" xfId="0" applyAlignment="1" applyBorder="1" applyFont="1">
      <alignment horizontal="left"/>
    </xf>
    <xf borderId="11" fillId="10" fontId="1" numFmtId="0" xfId="0" applyAlignment="1" applyBorder="1" applyFont="1">
      <alignment horizontal="left"/>
    </xf>
    <xf borderId="12" fillId="10" fontId="1" numFmtId="0" xfId="0" applyAlignment="1" applyBorder="1" applyFont="1">
      <alignment horizontal="left"/>
    </xf>
    <xf borderId="2" fillId="10" fontId="1" numFmtId="0" xfId="0" applyAlignment="1" applyBorder="1" applyFont="1">
      <alignment horizontal="center"/>
    </xf>
    <xf borderId="10" fillId="10" fontId="1" numFmtId="0" xfId="0" applyBorder="1" applyFont="1"/>
    <xf borderId="11" fillId="10" fontId="1" numFmtId="0" xfId="0" applyBorder="1" applyFont="1"/>
    <xf borderId="12" fillId="10" fontId="1" numFmtId="0" xfId="0" applyBorder="1" applyFont="1"/>
    <xf borderId="1" fillId="11" fontId="1" numFmtId="0" xfId="0" applyBorder="1" applyFill="1" applyFont="1"/>
    <xf borderId="2" fillId="12" fontId="2" numFmtId="0" xfId="0" applyAlignment="1" applyBorder="1" applyFill="1" applyFont="1">
      <alignment horizontal="center"/>
    </xf>
    <xf borderId="2" fillId="13" fontId="2" numFmtId="0" xfId="0" applyAlignment="1" applyBorder="1" applyFill="1" applyFont="1">
      <alignment horizontal="center"/>
    </xf>
    <xf borderId="2" fillId="14" fontId="2" numFmtId="0" xfId="0" applyAlignment="1" applyBorder="1" applyFill="1" applyFont="1">
      <alignment horizontal="center"/>
    </xf>
    <xf borderId="2" fillId="15" fontId="2" numFmtId="0" xfId="0" applyAlignment="1" applyBorder="1" applyFill="1" applyFont="1">
      <alignment horizontal="center"/>
    </xf>
    <xf borderId="1" fillId="0" fontId="2" numFmtId="49" xfId="0" applyAlignment="1" applyBorder="1" applyFont="1" applyNumberFormat="1">
      <alignment horizontal="center" vertical="center"/>
    </xf>
    <xf borderId="1" fillId="12" fontId="2" numFmtId="49" xfId="0" applyAlignment="1" applyBorder="1" applyFont="1" applyNumberFormat="1">
      <alignment horizontal="center" vertical="center"/>
    </xf>
    <xf borderId="1" fillId="13" fontId="2" numFmtId="49" xfId="0" applyAlignment="1" applyBorder="1" applyFont="1" applyNumberFormat="1">
      <alignment horizontal="center" vertical="center"/>
    </xf>
    <xf borderId="1" fillId="14" fontId="2" numFmtId="49" xfId="0" applyAlignment="1" applyBorder="1" applyFont="1" applyNumberFormat="1">
      <alignment horizontal="center" vertical="center"/>
    </xf>
    <xf borderId="1" fillId="15" fontId="2" numFmtId="49" xfId="0" applyAlignment="1" applyBorder="1" applyFont="1" applyNumberFormat="1">
      <alignment horizontal="center" vertical="center"/>
    </xf>
    <xf borderId="1" fillId="12" fontId="1" numFmtId="164" xfId="0" applyBorder="1" applyFont="1" applyNumberFormat="1"/>
    <xf borderId="1" fillId="12" fontId="1" numFmtId="10" xfId="0" applyBorder="1" applyFont="1" applyNumberFormat="1"/>
    <xf borderId="1" fillId="13" fontId="1" numFmtId="164" xfId="0" applyBorder="1" applyFont="1" applyNumberFormat="1"/>
    <xf borderId="1" fillId="13" fontId="1" numFmtId="10" xfId="0" applyBorder="1" applyFont="1" applyNumberFormat="1"/>
    <xf borderId="1" fillId="14" fontId="1" numFmtId="164" xfId="0" applyBorder="1" applyFont="1" applyNumberFormat="1"/>
    <xf borderId="1" fillId="14" fontId="1" numFmtId="10" xfId="0" applyBorder="1" applyFont="1" applyNumberFormat="1"/>
    <xf borderId="1" fillId="15" fontId="1" numFmtId="166" xfId="0" applyBorder="1" applyFont="1" applyNumberFormat="1"/>
    <xf borderId="1" fillId="16" fontId="5" numFmtId="0" xfId="0" applyBorder="1" applyFill="1" applyFont="1"/>
    <xf borderId="1" fillId="12" fontId="5" numFmtId="164" xfId="0" applyBorder="1" applyFont="1" applyNumberFormat="1"/>
    <xf borderId="1" fillId="12" fontId="5" numFmtId="10" xfId="0" applyBorder="1" applyFont="1" applyNumberFormat="1"/>
    <xf borderId="1" fillId="13" fontId="5" numFmtId="164" xfId="0" applyBorder="1" applyFont="1" applyNumberFormat="1"/>
    <xf borderId="1" fillId="13" fontId="5" numFmtId="10" xfId="0" applyBorder="1" applyFont="1" applyNumberFormat="1"/>
    <xf borderId="1" fillId="14" fontId="5" numFmtId="164" xfId="0" applyBorder="1" applyFont="1" applyNumberFormat="1"/>
    <xf borderId="1" fillId="14" fontId="5" numFmtId="10" xfId="0" applyBorder="1" applyFont="1" applyNumberFormat="1"/>
    <xf borderId="1" fillId="15" fontId="5" numFmtId="166" xfId="0" applyBorder="1" applyFont="1" applyNumberFormat="1"/>
    <xf borderId="1" fillId="0" fontId="5" numFmtId="0" xfId="0" applyBorder="1" applyFont="1"/>
    <xf borderId="13" fillId="12" fontId="1" numFmtId="164" xfId="0" applyBorder="1" applyFont="1" applyNumberFormat="1"/>
    <xf borderId="13" fillId="12" fontId="1" numFmtId="10" xfId="0" applyBorder="1" applyFont="1" applyNumberFormat="1"/>
    <xf borderId="13" fillId="13" fontId="1" numFmtId="164" xfId="0" applyBorder="1" applyFont="1" applyNumberFormat="1"/>
    <xf borderId="13" fillId="13" fontId="1" numFmtId="10" xfId="0" applyBorder="1" applyFont="1" applyNumberFormat="1"/>
    <xf borderId="13" fillId="14" fontId="1" numFmtId="164" xfId="0" applyBorder="1" applyFont="1" applyNumberFormat="1"/>
    <xf borderId="13" fillId="14" fontId="1" numFmtId="10" xfId="0" applyBorder="1" applyFont="1" applyNumberFormat="1"/>
    <xf borderId="13" fillId="15" fontId="1" numFmtId="166" xfId="0" applyBorder="1" applyFont="1" applyNumberFormat="1"/>
    <xf borderId="1" fillId="12" fontId="2" numFmtId="164" xfId="0" applyBorder="1" applyFont="1" applyNumberFormat="1"/>
    <xf borderId="1" fillId="13" fontId="2" numFmtId="164" xfId="0" applyBorder="1" applyFont="1" applyNumberFormat="1"/>
    <xf borderId="1" fillId="14" fontId="2" numFmtId="164" xfId="0" applyBorder="1" applyFont="1" applyNumberFormat="1"/>
    <xf borderId="1" fillId="15" fontId="2" numFmtId="166" xfId="0" applyBorder="1" applyFont="1" applyNumberFormat="1"/>
    <xf borderId="9" fillId="0" fontId="1" numFmtId="0" xfId="0" applyBorder="1" applyFont="1"/>
    <xf borderId="2" fillId="0" fontId="2" numFmtId="0" xfId="0" applyAlignment="1" applyBorder="1" applyFont="1">
      <alignment horizontal="center" vertical="center"/>
    </xf>
    <xf borderId="10" fillId="17" fontId="2" numFmtId="0" xfId="0" applyAlignment="1" applyBorder="1" applyFill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1" numFmtId="0" xfId="0" applyBorder="1" applyFont="1"/>
    <xf borderId="1" fillId="0" fontId="1" numFmtId="164" xfId="0" applyBorder="1" applyFont="1" applyNumberFormat="1"/>
    <xf borderId="1" fillId="17" fontId="1" numFmtId="10" xfId="0" applyBorder="1" applyFont="1" applyNumberFormat="1"/>
    <xf borderId="0" fillId="0" fontId="1" numFmtId="0" xfId="0" applyFont="1"/>
    <xf borderId="1" fillId="3" fontId="1" numFmtId="0" xfId="0" applyBorder="1" applyFont="1"/>
    <xf borderId="1" fillId="9" fontId="1" numFmtId="0" xfId="0" applyBorder="1" applyFont="1"/>
    <xf borderId="1" fillId="0" fontId="2" numFmtId="164" xfId="0" applyBorder="1" applyFont="1" applyNumberFormat="1"/>
    <xf borderId="1" fillId="17" fontId="2" numFmtId="10" xfId="0" applyBorder="1" applyFont="1" applyNumberFormat="1"/>
    <xf borderId="0" fillId="0" fontId="2" numFmtId="0" xfId="0" applyFont="1"/>
    <xf borderId="15" fillId="5" fontId="2" numFmtId="0" xfId="0" applyAlignment="1" applyBorder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5" fillId="6" fontId="2" numFmtId="0" xfId="0" applyAlignment="1" applyBorder="1" applyFont="1">
      <alignment horizontal="center"/>
    </xf>
    <xf borderId="15" fillId="7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0" fontId="2" numFmtId="10" xfId="0" applyBorder="1" applyFont="1" applyNumberFormat="1"/>
    <xf borderId="0" fillId="0" fontId="2" numFmtId="164" xfId="0" applyFont="1" applyNumberFormat="1"/>
    <xf borderId="0" fillId="0" fontId="1" numFmtId="10" xfId="0" applyFont="1" applyNumberFormat="1"/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5" fillId="0" fontId="1" numFmtId="164" xfId="0" applyAlignment="1" applyBorder="1" applyFont="1" applyNumberFormat="1">
      <alignment horizontal="center" vertical="center"/>
    </xf>
    <xf borderId="22" fillId="0" fontId="1" numFmtId="164" xfId="0" applyAlignment="1" applyBorder="1" applyFont="1" applyNumberFormat="1">
      <alignment horizontal="center" vertical="center"/>
    </xf>
    <xf borderId="23" fillId="0" fontId="2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24" fillId="0" fontId="1" numFmtId="164" xfId="0" applyAlignment="1" applyBorder="1" applyFont="1" applyNumberFormat="1">
      <alignment horizontal="center" vertical="center"/>
    </xf>
    <xf borderId="7" fillId="0" fontId="1" numFmtId="164" xfId="0" applyBorder="1" applyFont="1" applyNumberFormat="1"/>
    <xf borderId="2" fillId="18" fontId="2" numFmtId="0" xfId="0" applyAlignment="1" applyBorder="1" applyFill="1" applyFont="1">
      <alignment horizontal="center"/>
    </xf>
    <xf borderId="2" fillId="19" fontId="2" numFmtId="0" xfId="0" applyAlignment="1" applyBorder="1" applyFill="1" applyFont="1">
      <alignment horizontal="center"/>
    </xf>
    <xf borderId="1" fillId="18" fontId="2" numFmtId="49" xfId="0" applyAlignment="1" applyBorder="1" applyFont="1" applyNumberFormat="1">
      <alignment horizontal="center" vertical="center"/>
    </xf>
    <xf borderId="1" fillId="19" fontId="2" numFmtId="49" xfId="0" applyAlignment="1" applyBorder="1" applyFont="1" applyNumberFormat="1">
      <alignment horizontal="center" vertical="center"/>
    </xf>
    <xf borderId="1" fillId="18" fontId="1" numFmtId="164" xfId="0" applyBorder="1" applyFont="1" applyNumberFormat="1"/>
    <xf borderId="1" fillId="18" fontId="1" numFmtId="10" xfId="0" applyBorder="1" applyFont="1" applyNumberFormat="1"/>
    <xf borderId="1" fillId="19" fontId="1" numFmtId="164" xfId="0" applyBorder="1" applyFont="1" applyNumberFormat="1"/>
    <xf borderId="1" fillId="19" fontId="1" numFmtId="10" xfId="0" applyBorder="1" applyFont="1" applyNumberFormat="1"/>
    <xf borderId="1" fillId="18" fontId="5" numFmtId="164" xfId="0" applyBorder="1" applyFont="1" applyNumberFormat="1"/>
    <xf borderId="1" fillId="18" fontId="5" numFmtId="10" xfId="0" applyBorder="1" applyFont="1" applyNumberFormat="1"/>
    <xf borderId="1" fillId="19" fontId="5" numFmtId="164" xfId="0" applyBorder="1" applyFont="1" applyNumberFormat="1"/>
    <xf borderId="1" fillId="19" fontId="5" numFmtId="10" xfId="0" applyBorder="1" applyFont="1" applyNumberFormat="1"/>
    <xf borderId="13" fillId="18" fontId="1" numFmtId="164" xfId="0" applyBorder="1" applyFont="1" applyNumberFormat="1"/>
    <xf borderId="13" fillId="18" fontId="1" numFmtId="10" xfId="0" applyBorder="1" applyFont="1" applyNumberFormat="1"/>
    <xf borderId="13" fillId="19" fontId="1" numFmtId="164" xfId="0" applyBorder="1" applyFont="1" applyNumberFormat="1"/>
    <xf borderId="13" fillId="19" fontId="1" numFmtId="10" xfId="0" applyBorder="1" applyFont="1" applyNumberFormat="1"/>
    <xf borderId="1" fillId="18" fontId="2" numFmtId="164" xfId="0" applyBorder="1" applyFont="1" applyNumberFormat="1"/>
    <xf borderId="1" fillId="19" fontId="2" numFmtId="164" xfId="0" applyBorder="1" applyFont="1" applyNumberFormat="1"/>
    <xf borderId="0" fillId="0" fontId="6" numFmtId="0" xfId="0" applyAlignment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25" fillId="0" fontId="3" numFmtId="0" xfId="0" applyBorder="1" applyFont="1"/>
    <xf borderId="2" fillId="19" fontId="2" numFmtId="0" xfId="0" applyAlignment="1" applyBorder="1" applyFont="1">
      <alignment horizontal="center" vertical="center"/>
    </xf>
    <xf borderId="26" fillId="2" fontId="7" numFmtId="0" xfId="0" applyAlignment="1" applyBorder="1" applyFont="1">
      <alignment horizontal="center" shrinkToFit="0" vertical="center" wrapText="1"/>
    </xf>
    <xf borderId="12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6" fillId="19" fontId="7" numFmtId="0" xfId="0" applyAlignment="1" applyBorder="1" applyFont="1">
      <alignment horizontal="center" shrinkToFit="0" vertical="center" wrapText="1"/>
    </xf>
    <xf borderId="12" fillId="19" fontId="2" numFmtId="0" xfId="0" applyAlignment="1" applyBorder="1" applyFont="1">
      <alignment horizontal="center" vertical="center"/>
    </xf>
    <xf borderId="1" fillId="19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4" fontId="1" numFmtId="10" xfId="0" applyAlignment="1" applyBorder="1" applyFont="1" applyNumberFormat="1">
      <alignment horizontal="center" vertical="center"/>
    </xf>
    <xf borderId="1" fillId="5" fontId="1" numFmtId="10" xfId="0" applyAlignment="1" applyBorder="1" applyFont="1" applyNumberFormat="1">
      <alignment horizontal="center" vertical="center"/>
    </xf>
    <xf borderId="1" fillId="6" fontId="1" numFmtId="10" xfId="0" applyAlignment="1" applyBorder="1" applyFont="1" applyNumberFormat="1">
      <alignment horizontal="center" vertical="center"/>
    </xf>
    <xf borderId="1" fillId="7" fontId="1" numFmtId="10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26" fillId="3" fontId="9" numFmtId="0" xfId="0" applyAlignment="1" applyBorder="1" applyFont="1">
      <alignment horizontal="center" shrinkToFit="0" vertical="center" wrapText="1"/>
    </xf>
    <xf borderId="12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>
        <color rgb="FF9C0006"/>
      </font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6.71"/>
    <col customWidth="1" min="3" max="3" width="10.14"/>
    <col customWidth="1" min="4" max="5" width="6.71"/>
    <col customWidth="1" min="6" max="6" width="10.14"/>
    <col customWidth="1" min="7" max="13" width="6.71"/>
    <col customWidth="1" min="14" max="14" width="2.71"/>
    <col customWidth="1" min="15" max="15" width="8.0"/>
    <col customWidth="1" min="16" max="23" width="6.71"/>
    <col customWidth="1" min="24" max="24" width="17.43"/>
    <col customWidth="1" min="25" max="27" width="6.71"/>
  </cols>
  <sheetData>
    <row r="1" ht="10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1" t="s">
        <v>1</v>
      </c>
      <c r="O1" s="1"/>
      <c r="P1" s="5" t="s">
        <v>2</v>
      </c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ht="10.5" customHeight="1">
      <c r="A2" s="6"/>
      <c r="B2" s="7" t="s">
        <v>3</v>
      </c>
      <c r="C2" s="3"/>
      <c r="D2" s="4"/>
      <c r="E2" s="8" t="s">
        <v>4</v>
      </c>
      <c r="F2" s="3"/>
      <c r="G2" s="4"/>
      <c r="H2" s="9" t="s">
        <v>5</v>
      </c>
      <c r="I2" s="3"/>
      <c r="J2" s="4"/>
      <c r="K2" s="10" t="s">
        <v>6</v>
      </c>
      <c r="L2" s="3"/>
      <c r="M2" s="4"/>
      <c r="N2" s="6"/>
      <c r="O2" s="6"/>
      <c r="P2" s="7" t="s">
        <v>3</v>
      </c>
      <c r="Q2" s="3"/>
      <c r="R2" s="4"/>
      <c r="S2" s="8" t="s">
        <v>4</v>
      </c>
      <c r="T2" s="3"/>
      <c r="U2" s="4"/>
      <c r="V2" s="9" t="s">
        <v>5</v>
      </c>
      <c r="W2" s="3"/>
      <c r="X2" s="4"/>
      <c r="Y2" s="10" t="s">
        <v>6</v>
      </c>
      <c r="Z2" s="3"/>
      <c r="AA2" s="4"/>
    </row>
    <row r="3" ht="10.5" customHeight="1">
      <c r="A3" s="6" t="s">
        <v>7</v>
      </c>
      <c r="B3" s="11">
        <v>2024.0</v>
      </c>
      <c r="C3" s="11">
        <v>2025.0</v>
      </c>
      <c r="D3" s="11" t="s">
        <v>8</v>
      </c>
      <c r="E3" s="12">
        <v>2024.0</v>
      </c>
      <c r="F3" s="12">
        <v>2025.0</v>
      </c>
      <c r="G3" s="12" t="s">
        <v>9</v>
      </c>
      <c r="H3" s="13">
        <v>2024.0</v>
      </c>
      <c r="I3" s="13">
        <v>2025.0</v>
      </c>
      <c r="J3" s="13" t="s">
        <v>9</v>
      </c>
      <c r="K3" s="14">
        <v>2024.0</v>
      </c>
      <c r="L3" s="14"/>
      <c r="M3" s="14" t="s">
        <v>9</v>
      </c>
      <c r="N3" s="6"/>
      <c r="O3" s="6" t="s">
        <v>7</v>
      </c>
      <c r="P3" s="11">
        <v>2024.0</v>
      </c>
      <c r="Q3" s="11">
        <v>2025.0</v>
      </c>
      <c r="R3" s="11" t="s">
        <v>8</v>
      </c>
      <c r="S3" s="12">
        <v>2024.0</v>
      </c>
      <c r="T3" s="12">
        <v>2025.0</v>
      </c>
      <c r="U3" s="12" t="s">
        <v>9</v>
      </c>
      <c r="V3" s="13">
        <v>2024.0</v>
      </c>
      <c r="W3" s="13">
        <v>2025.0</v>
      </c>
      <c r="X3" s="13" t="s">
        <v>9</v>
      </c>
      <c r="Y3" s="14">
        <v>2024.0</v>
      </c>
      <c r="Z3" s="14">
        <v>2025.0</v>
      </c>
      <c r="AA3" s="14" t="s">
        <v>9</v>
      </c>
    </row>
    <row r="4" ht="10.5" customHeight="1">
      <c r="A4" s="1" t="s">
        <v>10</v>
      </c>
      <c r="B4" s="15"/>
      <c r="C4" s="16"/>
      <c r="D4" s="15"/>
      <c r="E4" s="17"/>
      <c r="F4" s="18"/>
      <c r="G4" s="17"/>
      <c r="H4" s="19"/>
      <c r="I4" s="20"/>
      <c r="J4" s="19"/>
      <c r="K4" s="21"/>
      <c r="L4" s="22"/>
      <c r="M4" s="21"/>
      <c r="N4" s="1"/>
      <c r="O4" s="1" t="s">
        <v>10</v>
      </c>
      <c r="P4" s="15"/>
      <c r="Q4" s="15"/>
      <c r="R4" s="15"/>
      <c r="S4" s="17"/>
      <c r="T4" s="17"/>
      <c r="U4" s="17"/>
      <c r="V4" s="19"/>
      <c r="W4" s="19"/>
      <c r="X4" s="19"/>
      <c r="Y4" s="21"/>
      <c r="Z4" s="21"/>
      <c r="AA4" s="21"/>
    </row>
    <row r="5" ht="10.5" customHeight="1">
      <c r="A5" s="1" t="s">
        <v>11</v>
      </c>
      <c r="B5" s="15"/>
      <c r="C5" s="16"/>
      <c r="D5" s="15"/>
      <c r="E5" s="17"/>
      <c r="F5" s="18"/>
      <c r="G5" s="17"/>
      <c r="H5" s="19"/>
      <c r="I5" s="20"/>
      <c r="J5" s="19"/>
      <c r="K5" s="21"/>
      <c r="L5" s="22"/>
      <c r="M5" s="21"/>
      <c r="N5" s="1"/>
      <c r="O5" s="1" t="s">
        <v>11</v>
      </c>
      <c r="P5" s="15"/>
      <c r="Q5" s="15"/>
      <c r="R5" s="15"/>
      <c r="S5" s="17"/>
      <c r="T5" s="17"/>
      <c r="U5" s="17"/>
      <c r="V5" s="19"/>
      <c r="W5" s="19"/>
      <c r="X5" s="19"/>
      <c r="Y5" s="21"/>
      <c r="Z5" s="21"/>
      <c r="AA5" s="21"/>
    </row>
    <row r="6" ht="10.5" customHeight="1">
      <c r="A6" s="1" t="s">
        <v>12</v>
      </c>
      <c r="B6" s="15"/>
      <c r="C6" s="16"/>
      <c r="D6" s="15"/>
      <c r="E6" s="17"/>
      <c r="F6" s="18"/>
      <c r="G6" s="17"/>
      <c r="H6" s="19"/>
      <c r="I6" s="20"/>
      <c r="J6" s="19"/>
      <c r="K6" s="21"/>
      <c r="L6" s="22"/>
      <c r="M6" s="21"/>
      <c r="N6" s="1"/>
      <c r="O6" s="1" t="s">
        <v>12</v>
      </c>
      <c r="P6" s="15"/>
      <c r="Q6" s="15"/>
      <c r="R6" s="15"/>
      <c r="S6" s="17"/>
      <c r="T6" s="17"/>
      <c r="U6" s="17"/>
      <c r="V6" s="19"/>
      <c r="W6" s="19"/>
      <c r="X6" s="19"/>
      <c r="Y6" s="21"/>
      <c r="Z6" s="21"/>
      <c r="AA6" s="21"/>
    </row>
    <row r="7" ht="10.5" customHeight="1">
      <c r="A7" s="1" t="s">
        <v>13</v>
      </c>
      <c r="B7" s="15"/>
      <c r="C7" s="16"/>
      <c r="D7" s="15"/>
      <c r="E7" s="17"/>
      <c r="F7" s="18"/>
      <c r="G7" s="17"/>
      <c r="H7" s="19"/>
      <c r="I7" s="20"/>
      <c r="J7" s="19"/>
      <c r="K7" s="21"/>
      <c r="L7" s="22"/>
      <c r="M7" s="21"/>
      <c r="N7" s="1"/>
      <c r="O7" s="1" t="s">
        <v>13</v>
      </c>
      <c r="P7" s="15"/>
      <c r="Q7" s="15"/>
      <c r="R7" s="15"/>
      <c r="S7" s="17"/>
      <c r="T7" s="17"/>
      <c r="U7" s="17"/>
      <c r="V7" s="19"/>
      <c r="W7" s="19"/>
      <c r="X7" s="19"/>
      <c r="Y7" s="21"/>
      <c r="Z7" s="21"/>
      <c r="AA7" s="21"/>
    </row>
    <row r="8" ht="10.5" customHeight="1">
      <c r="A8" s="1" t="s">
        <v>14</v>
      </c>
      <c r="B8" s="15"/>
      <c r="C8" s="16"/>
      <c r="D8" s="15"/>
      <c r="E8" s="17"/>
      <c r="F8" s="18"/>
      <c r="G8" s="17"/>
      <c r="H8" s="19"/>
      <c r="I8" s="20"/>
      <c r="J8" s="19"/>
      <c r="K8" s="21"/>
      <c r="L8" s="22"/>
      <c r="M8" s="21"/>
      <c r="N8" s="1"/>
      <c r="O8" s="1" t="s">
        <v>14</v>
      </c>
      <c r="P8" s="15"/>
      <c r="Q8" s="15"/>
      <c r="R8" s="15"/>
      <c r="S8" s="17"/>
      <c r="T8" s="17"/>
      <c r="U8" s="17"/>
      <c r="V8" s="19"/>
      <c r="W8" s="19"/>
      <c r="X8" s="19"/>
      <c r="Y8" s="21"/>
      <c r="Z8" s="21"/>
      <c r="AA8" s="21"/>
    </row>
    <row r="9" ht="10.5" customHeight="1">
      <c r="A9" s="1" t="s">
        <v>15</v>
      </c>
      <c r="B9" s="15"/>
      <c r="C9" s="16"/>
      <c r="D9" s="15"/>
      <c r="E9" s="17"/>
      <c r="F9" s="18"/>
      <c r="G9" s="17"/>
      <c r="H9" s="19"/>
      <c r="I9" s="20"/>
      <c r="J9" s="19"/>
      <c r="K9" s="21"/>
      <c r="L9" s="22"/>
      <c r="M9" s="21"/>
      <c r="N9" s="1"/>
      <c r="O9" s="1" t="s">
        <v>15</v>
      </c>
      <c r="P9" s="15"/>
      <c r="Q9" s="15"/>
      <c r="R9" s="15"/>
      <c r="S9" s="17"/>
      <c r="T9" s="17"/>
      <c r="U9" s="17"/>
      <c r="V9" s="19"/>
      <c r="W9" s="19"/>
      <c r="X9" s="19"/>
      <c r="Y9" s="21"/>
      <c r="Z9" s="21"/>
      <c r="AA9" s="21"/>
    </row>
    <row r="10" ht="10.5" customHeight="1">
      <c r="A10" s="1" t="s">
        <v>16</v>
      </c>
      <c r="B10" s="15"/>
      <c r="C10" s="16"/>
      <c r="D10" s="15"/>
      <c r="E10" s="17"/>
      <c r="F10" s="18"/>
      <c r="G10" s="17"/>
      <c r="H10" s="19"/>
      <c r="I10" s="20"/>
      <c r="J10" s="19"/>
      <c r="K10" s="21"/>
      <c r="L10" s="22"/>
      <c r="M10" s="21"/>
      <c r="N10" s="1"/>
      <c r="O10" s="1" t="s">
        <v>16</v>
      </c>
      <c r="P10" s="15"/>
      <c r="Q10" s="15"/>
      <c r="R10" s="15"/>
      <c r="S10" s="17"/>
      <c r="T10" s="17"/>
      <c r="U10" s="17"/>
      <c r="V10" s="19"/>
      <c r="W10" s="19"/>
      <c r="X10" s="19"/>
      <c r="Y10" s="21"/>
      <c r="Z10" s="21"/>
      <c r="AA10" s="21"/>
    </row>
    <row r="11" ht="10.5" customHeight="1">
      <c r="A11" s="1" t="s">
        <v>17</v>
      </c>
      <c r="B11" s="15"/>
      <c r="C11" s="16"/>
      <c r="D11" s="15"/>
      <c r="E11" s="17"/>
      <c r="F11" s="18"/>
      <c r="G11" s="17"/>
      <c r="H11" s="19"/>
      <c r="I11" s="20"/>
      <c r="J11" s="19"/>
      <c r="K11" s="21"/>
      <c r="L11" s="22"/>
      <c r="M11" s="21"/>
      <c r="N11" s="1"/>
      <c r="O11" s="1" t="s">
        <v>17</v>
      </c>
      <c r="P11" s="15"/>
      <c r="Q11" s="15"/>
      <c r="R11" s="15"/>
      <c r="S11" s="17"/>
      <c r="T11" s="17"/>
      <c r="U11" s="17"/>
      <c r="V11" s="19"/>
      <c r="W11" s="19"/>
      <c r="X11" s="19"/>
      <c r="Y11" s="21"/>
      <c r="Z11" s="21"/>
      <c r="AA11" s="21"/>
    </row>
    <row r="12" ht="10.5" customHeight="1">
      <c r="A12" s="1" t="s">
        <v>18</v>
      </c>
      <c r="B12" s="15"/>
      <c r="C12" s="15"/>
      <c r="D12" s="15"/>
      <c r="E12" s="17"/>
      <c r="F12" s="17"/>
      <c r="G12" s="17"/>
      <c r="H12" s="19"/>
      <c r="I12" s="19"/>
      <c r="J12" s="19"/>
      <c r="K12" s="21"/>
      <c r="L12" s="21"/>
      <c r="M12" s="21"/>
      <c r="N12" s="1"/>
      <c r="O12" s="1" t="s">
        <v>18</v>
      </c>
      <c r="P12" s="15"/>
      <c r="Q12" s="15"/>
      <c r="R12" s="15"/>
      <c r="S12" s="17"/>
      <c r="T12" s="17"/>
      <c r="U12" s="17"/>
      <c r="V12" s="19"/>
      <c r="W12" s="19"/>
      <c r="X12" s="19"/>
      <c r="Y12" s="21"/>
      <c r="Z12" s="21"/>
      <c r="AA12" s="21"/>
    </row>
    <row r="13" ht="10.5" customHeight="1">
      <c r="A13" s="1" t="s">
        <v>19</v>
      </c>
      <c r="B13" s="15"/>
      <c r="C13" s="15"/>
      <c r="D13" s="15"/>
      <c r="E13" s="17"/>
      <c r="F13" s="17"/>
      <c r="G13" s="17"/>
      <c r="H13" s="19"/>
      <c r="I13" s="19"/>
      <c r="J13" s="19"/>
      <c r="K13" s="21"/>
      <c r="L13" s="21"/>
      <c r="M13" s="21"/>
      <c r="N13" s="1"/>
      <c r="O13" s="1" t="s">
        <v>19</v>
      </c>
      <c r="P13" s="15"/>
      <c r="Q13" s="15"/>
      <c r="R13" s="15"/>
      <c r="S13" s="17"/>
      <c r="T13" s="17"/>
      <c r="U13" s="17"/>
      <c r="V13" s="19"/>
      <c r="W13" s="19"/>
      <c r="X13" s="19"/>
      <c r="Y13" s="21"/>
      <c r="Z13" s="21"/>
      <c r="AA13" s="21"/>
    </row>
    <row r="14" ht="10.5" customHeight="1">
      <c r="A14" s="1" t="s">
        <v>20</v>
      </c>
      <c r="B14" s="15"/>
      <c r="C14" s="15"/>
      <c r="D14" s="15"/>
      <c r="E14" s="17"/>
      <c r="F14" s="17"/>
      <c r="G14" s="17"/>
      <c r="H14" s="19"/>
      <c r="I14" s="19"/>
      <c r="J14" s="19"/>
      <c r="K14" s="21"/>
      <c r="L14" s="21"/>
      <c r="M14" s="21"/>
      <c r="N14" s="1"/>
      <c r="O14" s="1" t="s">
        <v>20</v>
      </c>
      <c r="P14" s="15"/>
      <c r="Q14" s="15"/>
      <c r="R14" s="15"/>
      <c r="S14" s="17"/>
      <c r="T14" s="17"/>
      <c r="U14" s="17"/>
      <c r="V14" s="19"/>
      <c r="W14" s="19"/>
      <c r="X14" s="19"/>
      <c r="Y14" s="21"/>
      <c r="Z14" s="21"/>
      <c r="AA14" s="21"/>
    </row>
    <row r="15" ht="10.5" customHeight="1">
      <c r="A15" s="23" t="s">
        <v>21</v>
      </c>
      <c r="B15" s="15"/>
      <c r="C15" s="15"/>
      <c r="D15" s="15"/>
      <c r="E15" s="17"/>
      <c r="F15" s="17"/>
      <c r="G15" s="17"/>
      <c r="H15" s="19"/>
      <c r="I15" s="19"/>
      <c r="J15" s="19"/>
      <c r="K15" s="21"/>
      <c r="L15" s="21"/>
      <c r="M15" s="21"/>
      <c r="N15" s="1"/>
      <c r="O15" s="23" t="s">
        <v>21</v>
      </c>
      <c r="P15" s="15"/>
      <c r="Q15" s="15"/>
      <c r="R15" s="15"/>
      <c r="S15" s="17"/>
      <c r="T15" s="17"/>
      <c r="U15" s="17"/>
      <c r="V15" s="19"/>
      <c r="W15" s="19"/>
      <c r="X15" s="19"/>
      <c r="Y15" s="21"/>
      <c r="Z15" s="21"/>
      <c r="AA15" s="21"/>
    </row>
    <row r="16" ht="10.5" customHeight="1">
      <c r="A16" s="24" t="s">
        <v>22</v>
      </c>
      <c r="B16" s="25">
        <f t="shared" ref="B16:M16" si="1">SUM(B4:B15)</f>
        <v>0</v>
      </c>
      <c r="C16" s="25">
        <f t="shared" si="1"/>
        <v>0</v>
      </c>
      <c r="D16" s="25">
        <f t="shared" si="1"/>
        <v>0</v>
      </c>
      <c r="E16" s="26">
        <f t="shared" si="1"/>
        <v>0</v>
      </c>
      <c r="F16" s="26">
        <f t="shared" si="1"/>
        <v>0</v>
      </c>
      <c r="G16" s="26">
        <f t="shared" si="1"/>
        <v>0</v>
      </c>
      <c r="H16" s="27">
        <f t="shared" si="1"/>
        <v>0</v>
      </c>
      <c r="I16" s="27">
        <f t="shared" si="1"/>
        <v>0</v>
      </c>
      <c r="J16" s="27">
        <f t="shared" si="1"/>
        <v>0</v>
      </c>
      <c r="K16" s="28">
        <f t="shared" si="1"/>
        <v>0</v>
      </c>
      <c r="L16" s="28">
        <f t="shared" si="1"/>
        <v>0</v>
      </c>
      <c r="M16" s="29">
        <f t="shared" si="1"/>
        <v>0</v>
      </c>
      <c r="N16" s="30"/>
      <c r="O16" s="24" t="s">
        <v>22</v>
      </c>
      <c r="P16" s="25">
        <f t="shared" ref="P16:AA16" si="2">SUM(P4:P15)</f>
        <v>0</v>
      </c>
      <c r="Q16" s="25">
        <f t="shared" si="2"/>
        <v>0</v>
      </c>
      <c r="R16" s="25">
        <f t="shared" si="2"/>
        <v>0</v>
      </c>
      <c r="S16" s="26">
        <f t="shared" si="2"/>
        <v>0</v>
      </c>
      <c r="T16" s="26">
        <f t="shared" si="2"/>
        <v>0</v>
      </c>
      <c r="U16" s="26">
        <f t="shared" si="2"/>
        <v>0</v>
      </c>
      <c r="V16" s="27">
        <f t="shared" si="2"/>
        <v>0</v>
      </c>
      <c r="W16" s="27">
        <f t="shared" si="2"/>
        <v>0</v>
      </c>
      <c r="X16" s="27">
        <f t="shared" si="2"/>
        <v>0</v>
      </c>
      <c r="Y16" s="28">
        <f t="shared" si="2"/>
        <v>0</v>
      </c>
      <c r="Z16" s="28">
        <f t="shared" si="2"/>
        <v>0</v>
      </c>
      <c r="AA16" s="29">
        <f t="shared" si="2"/>
        <v>0</v>
      </c>
    </row>
    <row r="17" ht="10.5" customHeight="1">
      <c r="A17" s="31" t="s">
        <v>23</v>
      </c>
      <c r="B17" s="32" t="str">
        <f>B16/'costi-ricavi totali'!B17</f>
        <v>#DIV/0!</v>
      </c>
      <c r="C17" s="32" t="str">
        <f>C16/'costi-ricavi totali'!C17</f>
        <v>#DIV/0!</v>
      </c>
      <c r="D17" s="32" t="str">
        <f>D16/'costi-ricavi totali'!D17</f>
        <v>#DIV/0!</v>
      </c>
      <c r="E17" s="32" t="str">
        <f>E16/'costi-ricavi totali'!B17</f>
        <v>#DIV/0!</v>
      </c>
      <c r="F17" s="32" t="str">
        <f>F16/'costi-ricavi totali'!C17</f>
        <v>#DIV/0!</v>
      </c>
      <c r="G17" s="32" t="str">
        <f>G16/'costi-ricavi totali'!D17</f>
        <v>#DIV/0!</v>
      </c>
      <c r="H17" s="32" t="str">
        <f>H16/'costi-ricavi totali'!B17</f>
        <v>#DIV/0!</v>
      </c>
      <c r="I17" s="32" t="str">
        <f>I16/'costi-ricavi totali'!C17</f>
        <v>#DIV/0!</v>
      </c>
      <c r="J17" s="32" t="str">
        <f>J16/'costi-ricavi totali'!D17</f>
        <v>#DIV/0!</v>
      </c>
      <c r="K17" s="32" t="str">
        <f>K16/'costi-ricavi totali'!B17</f>
        <v>#DIV/0!</v>
      </c>
      <c r="L17" s="32" t="str">
        <f>L16/'costi-ricavi totali'!C17</f>
        <v>#DIV/0!</v>
      </c>
      <c r="M17" s="32" t="str">
        <f>M16/'costi-ricavi totali'!D17</f>
        <v>#DIV/0!</v>
      </c>
      <c r="N17" s="33"/>
      <c r="O17" s="31" t="s">
        <v>23</v>
      </c>
      <c r="P17" s="32" t="str">
        <f>P16/'costi-ricavi totali'!$B$17</f>
        <v>#DIV/0!</v>
      </c>
      <c r="Q17" s="32" t="str">
        <f>Q16/'costi-ricavi totali'!$C$17</f>
        <v>#DIV/0!</v>
      </c>
      <c r="R17" s="32" t="str">
        <f>R16/'costi-ricavi totali'!$D$17</f>
        <v>#DIV/0!</v>
      </c>
      <c r="S17" s="32" t="str">
        <f>S16/'costi-ricavi totali'!$B$17</f>
        <v>#DIV/0!</v>
      </c>
      <c r="T17" s="32" t="str">
        <f>T16/'costi-ricavi totali'!$C$17</f>
        <v>#DIV/0!</v>
      </c>
      <c r="U17" s="32" t="str">
        <f>U16/'costi-ricavi totali'!$D$17</f>
        <v>#DIV/0!</v>
      </c>
      <c r="V17" s="32" t="str">
        <f>V16/'costi-ricavi totali'!$B$17</f>
        <v>#DIV/0!</v>
      </c>
      <c r="W17" s="32" t="str">
        <f>W16/'costi-ricavi totali'!$C$17</f>
        <v>#DIV/0!</v>
      </c>
      <c r="X17" s="32" t="str">
        <f>X16/'costi-ricavi totali'!$D$17</f>
        <v>#DIV/0!</v>
      </c>
      <c r="Y17" s="32" t="str">
        <f>Y16/'costi-ricavi totali'!$B$17</f>
        <v>#DIV/0!</v>
      </c>
      <c r="Z17" s="32" t="str">
        <f>Z16/'costi-ricavi totali'!$C$17</f>
        <v>#DIV/0!</v>
      </c>
      <c r="AA17" s="32" t="str">
        <f>AA16/'costi-ricavi totali'!$D$17</f>
        <v>#DIV/0!</v>
      </c>
    </row>
    <row r="18" ht="10.5" customHeight="1">
      <c r="A18" s="31"/>
      <c r="B18" s="3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0.5" customHeight="1">
      <c r="A19" s="1"/>
      <c r="B19" s="35" t="s">
        <v>24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4"/>
      <c r="N19" s="1"/>
      <c r="O19" s="1"/>
      <c r="P19" s="36" t="s">
        <v>25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4"/>
    </row>
    <row r="20" ht="10.5" customHeight="1">
      <c r="A20" s="6"/>
      <c r="B20" s="7" t="s">
        <v>3</v>
      </c>
      <c r="C20" s="3"/>
      <c r="D20" s="4"/>
      <c r="E20" s="8" t="s">
        <v>4</v>
      </c>
      <c r="F20" s="3"/>
      <c r="G20" s="4"/>
      <c r="H20" s="9" t="s">
        <v>5</v>
      </c>
      <c r="I20" s="3"/>
      <c r="J20" s="4"/>
      <c r="K20" s="10" t="s">
        <v>6</v>
      </c>
      <c r="L20" s="3"/>
      <c r="M20" s="4"/>
      <c r="N20" s="1"/>
      <c r="O20" s="1"/>
      <c r="P20" s="37" t="s">
        <v>26</v>
      </c>
      <c r="Q20" s="3"/>
      <c r="R20" s="3"/>
      <c r="S20" s="3"/>
      <c r="T20" s="3"/>
      <c r="U20" s="3"/>
      <c r="V20" s="3"/>
      <c r="W20" s="3"/>
      <c r="X20" s="4"/>
      <c r="Y20" s="38"/>
      <c r="Z20" s="38"/>
      <c r="AA20" s="38"/>
    </row>
    <row r="21" ht="10.5" customHeight="1">
      <c r="A21" s="6" t="s">
        <v>7</v>
      </c>
      <c r="B21" s="11">
        <v>2024.0</v>
      </c>
      <c r="C21" s="11">
        <v>2025.0</v>
      </c>
      <c r="D21" s="11" t="s">
        <v>8</v>
      </c>
      <c r="E21" s="12">
        <v>2024.0</v>
      </c>
      <c r="F21" s="12">
        <v>2025.0</v>
      </c>
      <c r="G21" s="12" t="s">
        <v>9</v>
      </c>
      <c r="H21" s="13">
        <v>2024.0</v>
      </c>
      <c r="I21" s="13">
        <v>2025.0</v>
      </c>
      <c r="J21" s="13" t="s">
        <v>9</v>
      </c>
      <c r="K21" s="14">
        <v>2024.0</v>
      </c>
      <c r="L21" s="14">
        <v>2025.0</v>
      </c>
      <c r="M21" s="14" t="s">
        <v>9</v>
      </c>
      <c r="N21" s="1"/>
      <c r="O21" s="1"/>
      <c r="P21" s="38"/>
      <c r="Q21" s="37" t="s">
        <v>27</v>
      </c>
      <c r="R21" s="3"/>
      <c r="S21" s="3"/>
      <c r="T21" s="3"/>
      <c r="U21" s="3"/>
      <c r="V21" s="3"/>
      <c r="W21" s="3"/>
      <c r="X21" s="4"/>
      <c r="Y21" s="38"/>
      <c r="Z21" s="38"/>
      <c r="AA21" s="38"/>
    </row>
    <row r="22" ht="10.5" customHeight="1">
      <c r="A22" s="1" t="s">
        <v>10</v>
      </c>
      <c r="B22" s="15"/>
      <c r="C22" s="15"/>
      <c r="D22" s="15"/>
      <c r="E22" s="17"/>
      <c r="F22" s="17"/>
      <c r="G22" s="17"/>
      <c r="H22" s="19"/>
      <c r="I22" s="19"/>
      <c r="J22" s="19"/>
      <c r="K22" s="21"/>
      <c r="L22" s="21"/>
      <c r="M22" s="21"/>
      <c r="N22" s="1"/>
      <c r="O22" s="1"/>
      <c r="P22" s="38"/>
      <c r="Q22" s="37" t="s">
        <v>28</v>
      </c>
      <c r="R22" s="3"/>
      <c r="S22" s="3"/>
      <c r="T22" s="3"/>
      <c r="U22" s="3"/>
      <c r="V22" s="3"/>
      <c r="W22" s="3"/>
      <c r="X22" s="4"/>
      <c r="Y22" s="38"/>
      <c r="Z22" s="38"/>
      <c r="AA22" s="38"/>
    </row>
    <row r="23" ht="10.5" customHeight="1">
      <c r="A23" s="1" t="s">
        <v>11</v>
      </c>
      <c r="B23" s="15"/>
      <c r="C23" s="15"/>
      <c r="D23" s="15"/>
      <c r="E23" s="17"/>
      <c r="F23" s="17"/>
      <c r="G23" s="17"/>
      <c r="H23" s="19"/>
      <c r="I23" s="19"/>
      <c r="J23" s="19"/>
      <c r="K23" s="21"/>
      <c r="L23" s="21"/>
      <c r="M23" s="21"/>
      <c r="N23" s="1"/>
      <c r="O23" s="1"/>
      <c r="P23" s="38"/>
      <c r="Q23" s="37" t="s">
        <v>29</v>
      </c>
      <c r="R23" s="3"/>
      <c r="S23" s="3"/>
      <c r="T23" s="3"/>
      <c r="U23" s="3"/>
      <c r="V23" s="3"/>
      <c r="W23" s="3"/>
      <c r="X23" s="4"/>
      <c r="Y23" s="38"/>
      <c r="Z23" s="38"/>
      <c r="AA23" s="38"/>
    </row>
    <row r="24" ht="10.5" customHeight="1">
      <c r="A24" s="1" t="s">
        <v>12</v>
      </c>
      <c r="B24" s="15"/>
      <c r="C24" s="15"/>
      <c r="D24" s="15"/>
      <c r="E24" s="17"/>
      <c r="F24" s="17"/>
      <c r="G24" s="17"/>
      <c r="H24" s="19"/>
      <c r="I24" s="19"/>
      <c r="J24" s="19"/>
      <c r="K24" s="21"/>
      <c r="L24" s="21"/>
      <c r="M24" s="21"/>
      <c r="N24" s="1"/>
      <c r="O24" s="1"/>
      <c r="P24" s="37" t="s">
        <v>30</v>
      </c>
      <c r="Q24" s="3"/>
      <c r="R24" s="3"/>
      <c r="S24" s="3"/>
      <c r="T24" s="3"/>
      <c r="U24" s="3"/>
      <c r="V24" s="3"/>
      <c r="W24" s="3"/>
      <c r="X24" s="4"/>
      <c r="Y24" s="38"/>
      <c r="Z24" s="38"/>
      <c r="AA24" s="38"/>
    </row>
    <row r="25" ht="10.5" customHeight="1">
      <c r="A25" s="1" t="s">
        <v>13</v>
      </c>
      <c r="B25" s="15"/>
      <c r="C25" s="15"/>
      <c r="D25" s="15"/>
      <c r="E25" s="17"/>
      <c r="F25" s="17"/>
      <c r="G25" s="17"/>
      <c r="H25" s="19"/>
      <c r="I25" s="19"/>
      <c r="J25" s="19"/>
      <c r="K25" s="21"/>
      <c r="L25" s="21"/>
      <c r="M25" s="21"/>
      <c r="N25" s="1"/>
      <c r="O25" s="1"/>
      <c r="P25" s="39"/>
      <c r="Q25" s="37" t="s">
        <v>31</v>
      </c>
      <c r="R25" s="3"/>
      <c r="S25" s="3"/>
      <c r="T25" s="3"/>
      <c r="U25" s="3"/>
      <c r="V25" s="3"/>
      <c r="W25" s="3"/>
      <c r="X25" s="4"/>
      <c r="Y25" s="38"/>
      <c r="Z25" s="38"/>
      <c r="AA25" s="38"/>
    </row>
    <row r="26" ht="10.5" customHeight="1">
      <c r="A26" s="1" t="s">
        <v>14</v>
      </c>
      <c r="B26" s="15"/>
      <c r="C26" s="15"/>
      <c r="D26" s="15"/>
      <c r="E26" s="17"/>
      <c r="F26" s="17"/>
      <c r="G26" s="17"/>
      <c r="H26" s="19"/>
      <c r="I26" s="19"/>
      <c r="J26" s="19"/>
      <c r="K26" s="21"/>
      <c r="L26" s="21"/>
      <c r="M26" s="21"/>
      <c r="N26" s="1"/>
      <c r="O26" s="1"/>
      <c r="P26" s="39"/>
      <c r="Q26" s="40" t="s">
        <v>32</v>
      </c>
      <c r="R26" s="41"/>
      <c r="S26" s="41"/>
      <c r="T26" s="41"/>
      <c r="U26" s="41"/>
      <c r="V26" s="41"/>
      <c r="W26" s="41"/>
      <c r="X26" s="42"/>
      <c r="Y26" s="38"/>
      <c r="Z26" s="38"/>
      <c r="AA26" s="38"/>
    </row>
    <row r="27" ht="10.5" customHeight="1">
      <c r="A27" s="1" t="s">
        <v>15</v>
      </c>
      <c r="B27" s="15"/>
      <c r="C27" s="15"/>
      <c r="D27" s="15"/>
      <c r="E27" s="17"/>
      <c r="F27" s="17"/>
      <c r="G27" s="17"/>
      <c r="H27" s="19"/>
      <c r="I27" s="19"/>
      <c r="J27" s="19"/>
      <c r="K27" s="21"/>
      <c r="L27" s="21"/>
      <c r="M27" s="21"/>
      <c r="N27" s="1"/>
      <c r="O27" s="1"/>
      <c r="P27" s="38"/>
      <c r="Q27" s="43" t="s">
        <v>33</v>
      </c>
      <c r="R27" s="3"/>
      <c r="S27" s="3"/>
      <c r="T27" s="3"/>
      <c r="U27" s="3"/>
      <c r="V27" s="3"/>
      <c r="W27" s="3"/>
      <c r="X27" s="4"/>
      <c r="Y27" s="38"/>
      <c r="Z27" s="38"/>
      <c r="AA27" s="38"/>
    </row>
    <row r="28" ht="10.5" customHeight="1">
      <c r="A28" s="1" t="s">
        <v>16</v>
      </c>
      <c r="B28" s="15"/>
      <c r="C28" s="15"/>
      <c r="D28" s="15"/>
      <c r="E28" s="17"/>
      <c r="F28" s="17"/>
      <c r="G28" s="17"/>
      <c r="H28" s="19"/>
      <c r="I28" s="19"/>
      <c r="J28" s="19"/>
      <c r="K28" s="21"/>
      <c r="L28" s="21"/>
      <c r="M28" s="21"/>
      <c r="N28" s="1"/>
      <c r="O28" s="1"/>
      <c r="P28" s="38"/>
      <c r="Q28" s="37" t="s">
        <v>34</v>
      </c>
      <c r="R28" s="3"/>
      <c r="S28" s="3"/>
      <c r="T28" s="3"/>
      <c r="U28" s="3"/>
      <c r="V28" s="3"/>
      <c r="W28" s="3"/>
      <c r="X28" s="4"/>
      <c r="Y28" s="38"/>
      <c r="Z28" s="38"/>
      <c r="AA28" s="38"/>
    </row>
    <row r="29" ht="10.5" customHeight="1">
      <c r="A29" s="1" t="s">
        <v>17</v>
      </c>
      <c r="B29" s="15"/>
      <c r="C29" s="15"/>
      <c r="D29" s="15"/>
      <c r="E29" s="17"/>
      <c r="F29" s="17"/>
      <c r="G29" s="17"/>
      <c r="H29" s="19"/>
      <c r="I29" s="19"/>
      <c r="J29" s="19"/>
      <c r="K29" s="21"/>
      <c r="L29" s="21"/>
      <c r="M29" s="21"/>
      <c r="N29" s="1"/>
      <c r="O29" s="1"/>
      <c r="P29" s="37" t="s">
        <v>35</v>
      </c>
      <c r="Q29" s="3"/>
      <c r="R29" s="3"/>
      <c r="S29" s="3"/>
      <c r="T29" s="3"/>
      <c r="U29" s="3"/>
      <c r="V29" s="3"/>
      <c r="W29" s="3"/>
      <c r="X29" s="4"/>
      <c r="Y29" s="38"/>
      <c r="Z29" s="38"/>
      <c r="AA29" s="38"/>
    </row>
    <row r="30" ht="10.5" customHeight="1">
      <c r="A30" s="1" t="s">
        <v>18</v>
      </c>
      <c r="B30" s="15"/>
      <c r="C30" s="15"/>
      <c r="D30" s="15"/>
      <c r="E30" s="17"/>
      <c r="F30" s="17"/>
      <c r="G30" s="17"/>
      <c r="H30" s="19"/>
      <c r="I30" s="19"/>
      <c r="J30" s="19"/>
      <c r="K30" s="21"/>
      <c r="L30" s="21"/>
      <c r="M30" s="21"/>
      <c r="N30" s="1"/>
      <c r="O30" s="1"/>
      <c r="P30" s="38"/>
      <c r="Q30" s="37" t="s">
        <v>36</v>
      </c>
      <c r="R30" s="3"/>
      <c r="S30" s="3"/>
      <c r="T30" s="3"/>
      <c r="U30" s="3"/>
      <c r="V30" s="3"/>
      <c r="W30" s="3"/>
      <c r="X30" s="4"/>
      <c r="Y30" s="38"/>
      <c r="Z30" s="38"/>
      <c r="AA30" s="38"/>
    </row>
    <row r="31" ht="10.5" customHeight="1">
      <c r="A31" s="1" t="s">
        <v>19</v>
      </c>
      <c r="B31" s="15"/>
      <c r="C31" s="15"/>
      <c r="D31" s="15"/>
      <c r="E31" s="17"/>
      <c r="F31" s="17"/>
      <c r="G31" s="17"/>
      <c r="H31" s="19"/>
      <c r="I31" s="19"/>
      <c r="J31" s="19"/>
      <c r="K31" s="21"/>
      <c r="L31" s="21"/>
      <c r="M31" s="21"/>
      <c r="N31" s="1"/>
      <c r="O31" s="1"/>
      <c r="P31" s="38"/>
      <c r="Q31" s="44" t="s">
        <v>37</v>
      </c>
      <c r="R31" s="45"/>
      <c r="S31" s="45"/>
      <c r="T31" s="45"/>
      <c r="U31" s="45"/>
      <c r="V31" s="45"/>
      <c r="W31" s="45"/>
      <c r="X31" s="46"/>
      <c r="Y31" s="38"/>
      <c r="Z31" s="38"/>
      <c r="AA31" s="38"/>
    </row>
    <row r="32" ht="10.5" customHeight="1">
      <c r="A32" s="1" t="s">
        <v>20</v>
      </c>
      <c r="B32" s="15"/>
      <c r="C32" s="15"/>
      <c r="D32" s="15"/>
      <c r="E32" s="17"/>
      <c r="F32" s="17"/>
      <c r="G32" s="17"/>
      <c r="H32" s="19"/>
      <c r="I32" s="19"/>
      <c r="J32" s="19"/>
      <c r="K32" s="21"/>
      <c r="L32" s="21"/>
      <c r="M32" s="21"/>
      <c r="N32" s="1"/>
      <c r="O32" s="1"/>
      <c r="P32" s="38"/>
      <c r="Q32" s="37" t="s">
        <v>38</v>
      </c>
      <c r="R32" s="3"/>
      <c r="S32" s="3"/>
      <c r="T32" s="3"/>
      <c r="U32" s="3"/>
      <c r="V32" s="3"/>
      <c r="W32" s="3"/>
      <c r="X32" s="4"/>
      <c r="Y32" s="38"/>
      <c r="Z32" s="38"/>
      <c r="AA32" s="38"/>
    </row>
    <row r="33" ht="10.5" customHeight="1">
      <c r="A33" s="23" t="s">
        <v>21</v>
      </c>
      <c r="B33" s="15"/>
      <c r="C33" s="15"/>
      <c r="D33" s="15"/>
      <c r="E33" s="17"/>
      <c r="F33" s="17"/>
      <c r="G33" s="17"/>
      <c r="H33" s="19"/>
      <c r="I33" s="19"/>
      <c r="J33" s="19"/>
      <c r="K33" s="21"/>
      <c r="L33" s="21"/>
      <c r="M33" s="21"/>
      <c r="N33" s="1"/>
      <c r="O33" s="1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 ht="10.5" customHeight="1">
      <c r="A34" s="24" t="s">
        <v>22</v>
      </c>
      <c r="B34" s="25">
        <f t="shared" ref="B34:M34" si="3">SUM(B22:B33)</f>
        <v>0</v>
      </c>
      <c r="C34" s="25">
        <f t="shared" si="3"/>
        <v>0</v>
      </c>
      <c r="D34" s="25">
        <f t="shared" si="3"/>
        <v>0</v>
      </c>
      <c r="E34" s="26">
        <f t="shared" si="3"/>
        <v>0</v>
      </c>
      <c r="F34" s="26">
        <f t="shared" si="3"/>
        <v>0</v>
      </c>
      <c r="G34" s="26">
        <f t="shared" si="3"/>
        <v>0</v>
      </c>
      <c r="H34" s="27">
        <f t="shared" si="3"/>
        <v>0</v>
      </c>
      <c r="I34" s="27">
        <f t="shared" si="3"/>
        <v>0</v>
      </c>
      <c r="J34" s="27">
        <f t="shared" si="3"/>
        <v>0</v>
      </c>
      <c r="K34" s="28">
        <f t="shared" si="3"/>
        <v>0</v>
      </c>
      <c r="L34" s="28">
        <f t="shared" si="3"/>
        <v>0</v>
      </c>
      <c r="M34" s="29">
        <f t="shared" si="3"/>
        <v>0</v>
      </c>
      <c r="N34" s="1"/>
      <c r="O34" s="1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ht="10.5" customHeight="1">
      <c r="A35" s="31" t="s">
        <v>23</v>
      </c>
      <c r="B35" s="32" t="str">
        <f>B34/'costi-ricavi totali'!$B$17</f>
        <v>#DIV/0!</v>
      </c>
      <c r="C35" s="32" t="str">
        <f>C34/'costi-ricavi totali'!$C$17</f>
        <v>#DIV/0!</v>
      </c>
      <c r="D35" s="32" t="str">
        <f>D34/'costi-ricavi totali'!$D$17</f>
        <v>#DIV/0!</v>
      </c>
      <c r="E35" s="32" t="str">
        <f>E34/'costi-ricavi totali'!$B$17</f>
        <v>#DIV/0!</v>
      </c>
      <c r="F35" s="32" t="str">
        <f>F34/'costi-ricavi totali'!$C$17</f>
        <v>#DIV/0!</v>
      </c>
      <c r="G35" s="32" t="str">
        <f>G34/'costi-ricavi totali'!$D$17</f>
        <v>#DIV/0!</v>
      </c>
      <c r="H35" s="32" t="str">
        <f>H34/'costi-ricavi totali'!$B$17</f>
        <v>#DIV/0!</v>
      </c>
      <c r="I35" s="32" t="str">
        <f>I34/'costi-ricavi totali'!$C$17</f>
        <v>#DIV/0!</v>
      </c>
      <c r="J35" s="32" t="str">
        <f>J34/'costi-ricavi totali'!$D$17</f>
        <v>#DIV/0!</v>
      </c>
      <c r="K35" s="32" t="str">
        <f>K34/'costi-ricavi totali'!$B$17</f>
        <v>#DIV/0!</v>
      </c>
      <c r="L35" s="32" t="str">
        <f>L34/'costi-ricavi totali'!$C$17</f>
        <v>#DIV/0!</v>
      </c>
      <c r="M35" s="32" t="str">
        <f>M34/'costi-ricavi totali'!$D$17</f>
        <v>#DIV/0!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0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0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0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0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0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0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0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0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0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0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0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0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0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0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0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0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0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0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0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0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0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0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0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0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0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0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0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0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0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0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0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0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0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0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0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0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0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0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0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0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0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0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0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0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0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0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0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0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0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0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0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0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0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0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0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0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0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0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0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0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0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0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0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0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0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0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0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0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0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0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0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0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0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0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0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0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0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0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0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0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0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0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0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0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0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0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0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0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0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0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0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0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0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0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0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0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0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0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0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0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0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0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0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0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0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0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0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0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0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0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0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0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0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0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0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0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0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0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0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0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0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0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0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0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0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0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0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0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0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0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0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0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0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0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0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0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0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0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0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0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0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0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0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0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0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0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0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0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0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0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0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0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0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0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0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0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0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0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0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0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0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0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0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0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0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0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0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0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0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0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0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0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0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0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0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0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0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0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0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0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0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0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0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0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0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0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0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0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0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0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0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0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0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0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0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0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0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0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0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0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0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0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0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0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0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0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0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0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0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0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0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0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0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0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0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0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0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0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0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0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0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0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0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0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0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0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0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0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0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0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0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0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0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0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0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0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0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0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0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0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0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0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0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0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0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0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0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0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0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0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0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0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0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0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0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0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0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0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0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0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0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0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0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0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0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0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0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0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0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0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0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0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0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0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0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0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0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0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0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0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0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0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0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0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0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0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0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0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0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0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0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0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0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0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0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0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0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0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0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0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0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0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0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0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0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0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0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0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0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0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0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0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0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0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0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0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0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0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0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0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0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0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0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0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0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0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0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0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0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0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0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0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0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0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0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0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0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0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0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0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0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0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0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0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0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0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0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0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0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0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0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0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0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0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0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0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0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0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0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0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0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0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0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0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0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0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0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0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0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0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0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0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0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0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0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0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0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0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0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0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0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0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0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0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0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0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0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0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0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0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0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0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0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0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0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0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0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0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0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0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0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0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0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0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0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0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0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0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0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0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0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0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0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0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0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0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0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0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0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0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0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0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0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0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0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0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0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0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0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0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0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0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0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0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0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0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0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0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0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0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0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0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0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0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0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0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0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0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0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0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0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0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0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0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0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0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0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0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0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0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0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0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0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0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0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0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0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0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0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0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0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0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0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0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0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0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0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0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0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0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0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0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0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0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0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0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0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0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0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0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0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0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0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0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0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0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0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0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0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0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0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0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0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0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0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0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0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0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0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0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0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0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0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0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0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0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0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0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0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0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0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0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0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0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0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0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0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0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0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0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0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0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0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0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0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0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0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0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0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0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0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0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0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0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0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0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0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0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0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0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0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0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0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0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0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0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0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0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0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0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0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0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0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0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0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0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0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0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0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0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0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0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0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0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0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0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0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0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0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0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0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0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0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0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0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0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0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0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0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0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0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0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0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0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0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0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0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0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0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0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0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0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0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0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0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0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0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0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0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0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0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0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0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0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0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0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0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0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0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0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0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0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0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0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0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0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0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0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0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0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0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0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0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0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0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0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0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0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0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0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0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0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0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0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0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0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0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0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0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0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0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0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0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0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0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0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0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0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0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0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0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0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0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0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0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0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0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0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0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0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0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0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0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0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0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0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0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0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0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0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0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0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0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0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0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0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0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0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0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0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0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0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0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0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0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0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0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0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0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0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0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0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0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0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0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0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0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0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0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0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0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0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0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0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0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0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0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0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0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0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0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0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0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0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0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0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0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0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0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0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0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0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0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0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0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0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0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0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0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0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0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0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0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0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0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0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0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0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0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0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0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0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0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0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0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0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0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0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0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0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0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0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0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0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0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0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0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0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0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0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0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0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0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0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0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0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0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0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0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0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0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0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0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0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0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0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0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0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0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0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0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0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0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0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0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0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0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0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0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0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0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0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0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0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0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0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0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0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0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0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0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0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0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0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0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0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0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0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0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0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0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0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0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0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0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0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0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0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0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0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0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0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0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0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0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0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0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0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0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0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0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0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0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0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0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0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0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0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0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0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0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0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0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0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0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0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0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0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0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0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0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0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0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0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0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0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0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0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0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0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0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0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0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0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0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0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0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0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0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0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0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0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0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0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0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0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0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0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0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0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0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0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0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0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0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0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0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0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0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0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0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0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0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0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0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0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0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0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0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0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0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0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0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0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0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0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0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0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0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0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0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0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0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0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0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0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0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0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0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0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0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0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0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0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0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0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0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0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0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0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0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0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0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0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0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0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0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0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0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0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0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0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0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0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0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0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0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0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0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0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0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0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0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0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0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27">
    <mergeCell ref="B1:M1"/>
    <mergeCell ref="P1:AA1"/>
    <mergeCell ref="B2:D2"/>
    <mergeCell ref="E2:G2"/>
    <mergeCell ref="H2:J2"/>
    <mergeCell ref="K2:M2"/>
    <mergeCell ref="P2:R2"/>
    <mergeCell ref="Y2:AA2"/>
    <mergeCell ref="S2:U2"/>
    <mergeCell ref="V2:X2"/>
    <mergeCell ref="B19:M19"/>
    <mergeCell ref="B20:D20"/>
    <mergeCell ref="E20:G20"/>
    <mergeCell ref="H20:J20"/>
    <mergeCell ref="P19:AA19"/>
    <mergeCell ref="Q27:X27"/>
    <mergeCell ref="Q28:X28"/>
    <mergeCell ref="P29:X29"/>
    <mergeCell ref="Q30:X30"/>
    <mergeCell ref="Q32:X32"/>
    <mergeCell ref="K20:M20"/>
    <mergeCell ref="P20:X20"/>
    <mergeCell ref="Q21:X21"/>
    <mergeCell ref="Q22:X22"/>
    <mergeCell ref="Q23:X23"/>
    <mergeCell ref="P24:X24"/>
    <mergeCell ref="Q25:X2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9" width="17.0"/>
    <col customWidth="1" min="20" max="26" width="8.57"/>
  </cols>
  <sheetData>
    <row r="1" ht="10.5" customHeight="1">
      <c r="A1" s="6"/>
      <c r="B1" s="48" t="s">
        <v>39</v>
      </c>
      <c r="C1" s="3"/>
      <c r="D1" s="3"/>
      <c r="E1" s="3"/>
      <c r="F1" s="4"/>
      <c r="G1" s="49" t="s">
        <v>40</v>
      </c>
      <c r="H1" s="3"/>
      <c r="I1" s="3"/>
      <c r="J1" s="3"/>
      <c r="K1" s="4"/>
      <c r="L1" s="50" t="s">
        <v>41</v>
      </c>
      <c r="M1" s="3"/>
      <c r="N1" s="3"/>
      <c r="O1" s="3"/>
      <c r="P1" s="4"/>
      <c r="Q1" s="51" t="s">
        <v>42</v>
      </c>
      <c r="R1" s="3"/>
      <c r="S1" s="4"/>
      <c r="T1" s="6"/>
      <c r="U1" s="6"/>
      <c r="V1" s="6"/>
      <c r="W1" s="6"/>
      <c r="X1" s="6"/>
      <c r="Y1" s="6"/>
      <c r="Z1" s="6"/>
    </row>
    <row r="2" ht="10.5" customHeight="1">
      <c r="A2" s="52" t="s">
        <v>43</v>
      </c>
      <c r="B2" s="53">
        <v>2024.0</v>
      </c>
      <c r="C2" s="53" t="s">
        <v>44</v>
      </c>
      <c r="D2" s="53">
        <v>2025.0</v>
      </c>
      <c r="E2" s="53" t="s">
        <v>45</v>
      </c>
      <c r="F2" s="53" t="s">
        <v>9</v>
      </c>
      <c r="G2" s="54">
        <v>2024.0</v>
      </c>
      <c r="H2" s="54" t="s">
        <v>44</v>
      </c>
      <c r="I2" s="54">
        <v>2025.0</v>
      </c>
      <c r="J2" s="54" t="s">
        <v>45</v>
      </c>
      <c r="K2" s="54" t="s">
        <v>9</v>
      </c>
      <c r="L2" s="55">
        <v>2024.0</v>
      </c>
      <c r="M2" s="55" t="s">
        <v>44</v>
      </c>
      <c r="N2" s="55">
        <v>2025.0</v>
      </c>
      <c r="O2" s="55" t="s">
        <v>45</v>
      </c>
      <c r="P2" s="55" t="s">
        <v>9</v>
      </c>
      <c r="Q2" s="56" t="s">
        <v>46</v>
      </c>
      <c r="R2" s="56" t="s">
        <v>47</v>
      </c>
      <c r="S2" s="56" t="s">
        <v>48</v>
      </c>
      <c r="T2" s="52"/>
      <c r="U2" s="52"/>
      <c r="V2" s="52"/>
      <c r="W2" s="52"/>
      <c r="X2" s="52"/>
      <c r="Y2" s="52"/>
      <c r="Z2" s="52"/>
    </row>
    <row r="3" ht="10.5" customHeight="1">
      <c r="A3" s="1" t="s">
        <v>10</v>
      </c>
      <c r="B3" s="57">
        <v>0.0</v>
      </c>
      <c r="C3" s="58" t="str">
        <f t="shared" ref="C3:C25" si="1">(D3-B3)/D3</f>
        <v>#DIV/0!</v>
      </c>
      <c r="D3" s="57">
        <v>0.0</v>
      </c>
      <c r="E3" s="58" t="str">
        <f t="shared" ref="E3:E4" si="2">(D3-F3)/F3</f>
        <v>#DIV/0!</v>
      </c>
      <c r="F3" s="57">
        <v>0.0</v>
      </c>
      <c r="G3" s="59">
        <v>0.0</v>
      </c>
      <c r="H3" s="60" t="str">
        <f t="shared" ref="H3:H25" si="3">(I3-G3)/I3</f>
        <v>#DIV/0!</v>
      </c>
      <c r="I3" s="59">
        <v>0.0</v>
      </c>
      <c r="J3" s="60" t="str">
        <f t="shared" ref="J3:J25" si="4">(I3-K3)/K3</f>
        <v>#DIV/0!</v>
      </c>
      <c r="K3" s="59">
        <v>0.0</v>
      </c>
      <c r="L3" s="61"/>
      <c r="M3" s="62" t="str">
        <f t="shared" ref="M3:M25" si="5">(N3-L3)/N3</f>
        <v>#DIV/0!</v>
      </c>
      <c r="N3" s="61">
        <v>0.0</v>
      </c>
      <c r="O3" s="62" t="str">
        <f t="shared" ref="O3:O25" si="6">(N3-P3)/P3</f>
        <v>#DIV/0!</v>
      </c>
      <c r="P3" s="61">
        <v>0.0</v>
      </c>
      <c r="Q3" s="63">
        <f t="shared" ref="Q3:Q25" si="7">B3+G3+L3</f>
        <v>0</v>
      </c>
      <c r="R3" s="63">
        <f t="shared" ref="R3:R25" si="8">D3+I3+N3</f>
        <v>0</v>
      </c>
      <c r="S3" s="63">
        <f t="shared" ref="S3:S25" si="9">F3+K3+P3</f>
        <v>0</v>
      </c>
      <c r="T3" s="1"/>
      <c r="U3" s="1"/>
      <c r="V3" s="1"/>
      <c r="W3" s="1"/>
      <c r="X3" s="1"/>
      <c r="Y3" s="1"/>
      <c r="Z3" s="1"/>
    </row>
    <row r="4" ht="10.5" customHeight="1">
      <c r="A4" s="1" t="s">
        <v>11</v>
      </c>
      <c r="B4" s="57">
        <v>0.0</v>
      </c>
      <c r="C4" s="58" t="str">
        <f t="shared" si="1"/>
        <v>#DIV/0!</v>
      </c>
      <c r="D4" s="57">
        <v>0.0</v>
      </c>
      <c r="E4" s="58" t="str">
        <f t="shared" si="2"/>
        <v>#DIV/0!</v>
      </c>
      <c r="F4" s="57">
        <v>0.0</v>
      </c>
      <c r="G4" s="59">
        <v>0.0</v>
      </c>
      <c r="H4" s="60" t="str">
        <f t="shared" si="3"/>
        <v>#DIV/0!</v>
      </c>
      <c r="I4" s="59">
        <v>0.0</v>
      </c>
      <c r="J4" s="60" t="str">
        <f t="shared" si="4"/>
        <v>#DIV/0!</v>
      </c>
      <c r="K4" s="59">
        <v>0.0</v>
      </c>
      <c r="L4" s="61"/>
      <c r="M4" s="62" t="str">
        <f t="shared" si="5"/>
        <v>#DIV/0!</v>
      </c>
      <c r="N4" s="61">
        <v>0.0</v>
      </c>
      <c r="O4" s="62" t="str">
        <f t="shared" si="6"/>
        <v>#DIV/0!</v>
      </c>
      <c r="P4" s="61">
        <v>0.0</v>
      </c>
      <c r="Q4" s="63">
        <f t="shared" si="7"/>
        <v>0</v>
      </c>
      <c r="R4" s="63">
        <f t="shared" si="8"/>
        <v>0</v>
      </c>
      <c r="S4" s="63">
        <f t="shared" si="9"/>
        <v>0</v>
      </c>
      <c r="T4" s="1"/>
      <c r="U4" s="1"/>
      <c r="V4" s="1"/>
      <c r="W4" s="1"/>
      <c r="X4" s="1"/>
      <c r="Y4" s="1"/>
      <c r="Z4" s="1"/>
    </row>
    <row r="5" ht="10.5" customHeight="1">
      <c r="A5" s="64" t="s">
        <v>49</v>
      </c>
      <c r="B5" s="65">
        <f>SUM(B3:B4)</f>
        <v>0</v>
      </c>
      <c r="C5" s="66" t="str">
        <f t="shared" si="1"/>
        <v>#DIV/0!</v>
      </c>
      <c r="D5" s="65">
        <f>SUM(D3:D4)</f>
        <v>0</v>
      </c>
      <c r="E5" s="66" t="str">
        <f>(F5-D5)/F5</f>
        <v>#DIV/0!</v>
      </c>
      <c r="F5" s="65">
        <f t="shared" ref="F5:G5" si="10">SUM(F3:F4)</f>
        <v>0</v>
      </c>
      <c r="G5" s="67">
        <f t="shared" si="10"/>
        <v>0</v>
      </c>
      <c r="H5" s="68" t="str">
        <f t="shared" si="3"/>
        <v>#DIV/0!</v>
      </c>
      <c r="I5" s="67">
        <f>SUM(I3:I4)</f>
        <v>0</v>
      </c>
      <c r="J5" s="68" t="str">
        <f t="shared" si="4"/>
        <v>#DIV/0!</v>
      </c>
      <c r="K5" s="67">
        <f t="shared" ref="K5:L5" si="11">SUM(K3:K4)</f>
        <v>0</v>
      </c>
      <c r="L5" s="69">
        <f t="shared" si="11"/>
        <v>0</v>
      </c>
      <c r="M5" s="70" t="str">
        <f t="shared" si="5"/>
        <v>#DIV/0!</v>
      </c>
      <c r="N5" s="69">
        <f>SUM(N3:N4)</f>
        <v>0</v>
      </c>
      <c r="O5" s="70" t="str">
        <f t="shared" si="6"/>
        <v>#DIV/0!</v>
      </c>
      <c r="P5" s="69">
        <f>SUM(P3:P4)</f>
        <v>0</v>
      </c>
      <c r="Q5" s="71">
        <f t="shared" si="7"/>
        <v>0</v>
      </c>
      <c r="R5" s="71">
        <f t="shared" si="8"/>
        <v>0</v>
      </c>
      <c r="S5" s="71">
        <f t="shared" si="9"/>
        <v>0</v>
      </c>
      <c r="T5" s="72"/>
      <c r="U5" s="72"/>
      <c r="V5" s="72"/>
      <c r="W5" s="72"/>
      <c r="X5" s="72"/>
      <c r="Y5" s="72"/>
      <c r="Z5" s="72"/>
    </row>
    <row r="6" ht="10.5" customHeight="1">
      <c r="A6" s="1" t="s">
        <v>12</v>
      </c>
      <c r="B6" s="57">
        <v>0.0</v>
      </c>
      <c r="C6" s="58" t="str">
        <f t="shared" si="1"/>
        <v>#DIV/0!</v>
      </c>
      <c r="D6" s="57">
        <v>0.0</v>
      </c>
      <c r="E6" s="58" t="str">
        <f>(D6-F6)/F6</f>
        <v>#DIV/0!</v>
      </c>
      <c r="F6" s="57">
        <v>0.0</v>
      </c>
      <c r="G6" s="59">
        <v>0.0</v>
      </c>
      <c r="H6" s="60" t="str">
        <f t="shared" si="3"/>
        <v>#DIV/0!</v>
      </c>
      <c r="I6" s="59">
        <v>0.0</v>
      </c>
      <c r="J6" s="60" t="str">
        <f t="shared" si="4"/>
        <v>#DIV/0!</v>
      </c>
      <c r="K6" s="59">
        <v>0.0</v>
      </c>
      <c r="L6" s="61"/>
      <c r="M6" s="62" t="str">
        <f t="shared" si="5"/>
        <v>#DIV/0!</v>
      </c>
      <c r="N6" s="61">
        <v>0.0</v>
      </c>
      <c r="O6" s="62" t="str">
        <f t="shared" si="6"/>
        <v>#DIV/0!</v>
      </c>
      <c r="P6" s="61">
        <v>0.0</v>
      </c>
      <c r="Q6" s="63">
        <f t="shared" si="7"/>
        <v>0</v>
      </c>
      <c r="R6" s="63">
        <f t="shared" si="8"/>
        <v>0</v>
      </c>
      <c r="S6" s="63">
        <f t="shared" si="9"/>
        <v>0</v>
      </c>
      <c r="T6" s="1"/>
      <c r="U6" s="1"/>
      <c r="V6" s="1"/>
      <c r="W6" s="1"/>
      <c r="X6" s="1"/>
      <c r="Y6" s="1"/>
      <c r="Z6" s="1"/>
    </row>
    <row r="7" ht="10.5" customHeight="1">
      <c r="A7" s="64" t="s">
        <v>49</v>
      </c>
      <c r="B7" s="65">
        <f>SUM(B5:B6)</f>
        <v>0</v>
      </c>
      <c r="C7" s="66" t="str">
        <f t="shared" si="1"/>
        <v>#DIV/0!</v>
      </c>
      <c r="D7" s="65">
        <f>SUM(D5:D6)</f>
        <v>0</v>
      </c>
      <c r="E7" s="66" t="str">
        <f>(F7-D7)/F7</f>
        <v>#DIV/0!</v>
      </c>
      <c r="F7" s="65">
        <f>SUM(F5:F6)</f>
        <v>0</v>
      </c>
      <c r="G7" s="67">
        <f>G8</f>
        <v>0</v>
      </c>
      <c r="H7" s="68" t="str">
        <f t="shared" si="3"/>
        <v>#DIV/0!</v>
      </c>
      <c r="I7" s="67">
        <f>SUM(I5:I6)</f>
        <v>0</v>
      </c>
      <c r="J7" s="68" t="str">
        <f t="shared" si="4"/>
        <v>#DIV/0!</v>
      </c>
      <c r="K7" s="67">
        <f t="shared" ref="K7:L7" si="12">SUM(K5:K6)</f>
        <v>0</v>
      </c>
      <c r="L7" s="69">
        <f t="shared" si="12"/>
        <v>0</v>
      </c>
      <c r="M7" s="70" t="str">
        <f t="shared" si="5"/>
        <v>#DIV/0!</v>
      </c>
      <c r="N7" s="69">
        <f>SUM(N5:N6)</f>
        <v>0</v>
      </c>
      <c r="O7" s="70" t="str">
        <f t="shared" si="6"/>
        <v>#DIV/0!</v>
      </c>
      <c r="P7" s="69">
        <f>P5+P6</f>
        <v>0</v>
      </c>
      <c r="Q7" s="71">
        <f t="shared" si="7"/>
        <v>0</v>
      </c>
      <c r="R7" s="71">
        <f t="shared" si="8"/>
        <v>0</v>
      </c>
      <c r="S7" s="71">
        <f t="shared" si="9"/>
        <v>0</v>
      </c>
      <c r="T7" s="72"/>
      <c r="U7" s="72"/>
      <c r="V7" s="72"/>
      <c r="W7" s="72"/>
      <c r="X7" s="72"/>
      <c r="Y7" s="72"/>
      <c r="Z7" s="72"/>
    </row>
    <row r="8" ht="10.5" customHeight="1">
      <c r="A8" s="1" t="s">
        <v>13</v>
      </c>
      <c r="B8" s="57">
        <v>0.0</v>
      </c>
      <c r="C8" s="58" t="str">
        <f t="shared" si="1"/>
        <v>#DIV/0!</v>
      </c>
      <c r="D8" s="57">
        <v>0.0</v>
      </c>
      <c r="E8" s="58" t="str">
        <f>(D8-F8)/F8</f>
        <v>#DIV/0!</v>
      </c>
      <c r="F8" s="57">
        <v>0.0</v>
      </c>
      <c r="G8" s="59">
        <v>0.0</v>
      </c>
      <c r="H8" s="60" t="str">
        <f t="shared" si="3"/>
        <v>#DIV/0!</v>
      </c>
      <c r="I8" s="59">
        <v>0.0</v>
      </c>
      <c r="J8" s="60" t="str">
        <f t="shared" si="4"/>
        <v>#DIV/0!</v>
      </c>
      <c r="K8" s="59">
        <v>0.0</v>
      </c>
      <c r="L8" s="61"/>
      <c r="M8" s="62" t="str">
        <f t="shared" si="5"/>
        <v>#DIV/0!</v>
      </c>
      <c r="N8" s="61">
        <v>0.0</v>
      </c>
      <c r="O8" s="62" t="str">
        <f t="shared" si="6"/>
        <v>#DIV/0!</v>
      </c>
      <c r="P8" s="61">
        <v>0.0</v>
      </c>
      <c r="Q8" s="63">
        <f t="shared" si="7"/>
        <v>0</v>
      </c>
      <c r="R8" s="63">
        <f t="shared" si="8"/>
        <v>0</v>
      </c>
      <c r="S8" s="63">
        <f t="shared" si="9"/>
        <v>0</v>
      </c>
      <c r="T8" s="1"/>
      <c r="U8" s="1"/>
      <c r="V8" s="1"/>
      <c r="W8" s="1"/>
      <c r="X8" s="1"/>
      <c r="Y8" s="1"/>
      <c r="Z8" s="1"/>
    </row>
    <row r="9" ht="10.5" customHeight="1">
      <c r="A9" s="64" t="s">
        <v>49</v>
      </c>
      <c r="B9" s="65">
        <f>SUM(B7:B8)</f>
        <v>0</v>
      </c>
      <c r="C9" s="66" t="str">
        <f t="shared" si="1"/>
        <v>#DIV/0!</v>
      </c>
      <c r="D9" s="65">
        <f>SUM(D7:D8)</f>
        <v>0</v>
      </c>
      <c r="E9" s="66" t="str">
        <f>(F9-D9)/F9</f>
        <v>#DIV/0!</v>
      </c>
      <c r="F9" s="65">
        <f t="shared" ref="F9:G9" si="13">SUM(F7:F8)</f>
        <v>0</v>
      </c>
      <c r="G9" s="67">
        <f t="shared" si="13"/>
        <v>0</v>
      </c>
      <c r="H9" s="68" t="str">
        <f t="shared" si="3"/>
        <v>#DIV/0!</v>
      </c>
      <c r="I9" s="67">
        <f>SUM(I7:I8)</f>
        <v>0</v>
      </c>
      <c r="J9" s="68" t="str">
        <f t="shared" si="4"/>
        <v>#DIV/0!</v>
      </c>
      <c r="K9" s="67">
        <f t="shared" ref="K9:L9" si="14">SUM(K7:K8)</f>
        <v>0</v>
      </c>
      <c r="L9" s="69">
        <f t="shared" si="14"/>
        <v>0</v>
      </c>
      <c r="M9" s="70" t="str">
        <f t="shared" si="5"/>
        <v>#DIV/0!</v>
      </c>
      <c r="N9" s="69">
        <f>SUM(N7:N8)</f>
        <v>0</v>
      </c>
      <c r="O9" s="70" t="str">
        <f t="shared" si="6"/>
        <v>#DIV/0!</v>
      </c>
      <c r="P9" s="69">
        <f>SUM(P7:P8)</f>
        <v>0</v>
      </c>
      <c r="Q9" s="71">
        <f t="shared" si="7"/>
        <v>0</v>
      </c>
      <c r="R9" s="71">
        <f t="shared" si="8"/>
        <v>0</v>
      </c>
      <c r="S9" s="71">
        <f t="shared" si="9"/>
        <v>0</v>
      </c>
      <c r="T9" s="72"/>
      <c r="U9" s="72"/>
      <c r="V9" s="72"/>
      <c r="W9" s="72"/>
      <c r="X9" s="72"/>
      <c r="Y9" s="72"/>
      <c r="Z9" s="72"/>
    </row>
    <row r="10" ht="10.5" customHeight="1">
      <c r="A10" s="1" t="s">
        <v>14</v>
      </c>
      <c r="B10" s="57">
        <v>0.0</v>
      </c>
      <c r="C10" s="58" t="str">
        <f t="shared" si="1"/>
        <v>#DIV/0!</v>
      </c>
      <c r="D10" s="57">
        <v>0.0</v>
      </c>
      <c r="E10" s="58" t="str">
        <f>(D10-F10)/F10</f>
        <v>#DIV/0!</v>
      </c>
      <c r="F10" s="57">
        <v>0.0</v>
      </c>
      <c r="G10" s="59">
        <v>0.0</v>
      </c>
      <c r="H10" s="60" t="str">
        <f t="shared" si="3"/>
        <v>#DIV/0!</v>
      </c>
      <c r="I10" s="59">
        <v>0.0</v>
      </c>
      <c r="J10" s="60" t="str">
        <f t="shared" si="4"/>
        <v>#DIV/0!</v>
      </c>
      <c r="K10" s="59">
        <v>0.0</v>
      </c>
      <c r="L10" s="61"/>
      <c r="M10" s="62" t="str">
        <f t="shared" si="5"/>
        <v>#DIV/0!</v>
      </c>
      <c r="N10" s="61">
        <v>0.0</v>
      </c>
      <c r="O10" s="62" t="str">
        <f t="shared" si="6"/>
        <v>#DIV/0!</v>
      </c>
      <c r="P10" s="61">
        <v>0.0</v>
      </c>
      <c r="Q10" s="63">
        <f t="shared" si="7"/>
        <v>0</v>
      </c>
      <c r="R10" s="63">
        <f t="shared" si="8"/>
        <v>0</v>
      </c>
      <c r="S10" s="63">
        <f t="shared" si="9"/>
        <v>0</v>
      </c>
      <c r="T10" s="1"/>
      <c r="U10" s="1"/>
      <c r="V10" s="1"/>
      <c r="W10" s="1"/>
      <c r="X10" s="1"/>
      <c r="Y10" s="1"/>
      <c r="Z10" s="1"/>
    </row>
    <row r="11" ht="10.5" customHeight="1">
      <c r="A11" s="64" t="s">
        <v>49</v>
      </c>
      <c r="B11" s="65">
        <f>SUM(B9:B10)</f>
        <v>0</v>
      </c>
      <c r="C11" s="66" t="str">
        <f t="shared" si="1"/>
        <v>#DIV/0!</v>
      </c>
      <c r="D11" s="65">
        <f>SUM(D9:D10)</f>
        <v>0</v>
      </c>
      <c r="E11" s="66" t="str">
        <f>(F11-D11)/F11</f>
        <v>#DIV/0!</v>
      </c>
      <c r="F11" s="65">
        <f t="shared" ref="F11:G11" si="15">SUM(F9:F10)</f>
        <v>0</v>
      </c>
      <c r="G11" s="67">
        <f t="shared" si="15"/>
        <v>0</v>
      </c>
      <c r="H11" s="68" t="str">
        <f t="shared" si="3"/>
        <v>#DIV/0!</v>
      </c>
      <c r="I11" s="67">
        <f>SUM(I9:I10)</f>
        <v>0</v>
      </c>
      <c r="J11" s="68" t="str">
        <f t="shared" si="4"/>
        <v>#DIV/0!</v>
      </c>
      <c r="K11" s="67">
        <f t="shared" ref="K11:L11" si="16">SUM(K9:K10)</f>
        <v>0</v>
      </c>
      <c r="L11" s="69">
        <f t="shared" si="16"/>
        <v>0</v>
      </c>
      <c r="M11" s="70" t="str">
        <f t="shared" si="5"/>
        <v>#DIV/0!</v>
      </c>
      <c r="N11" s="69">
        <f>SUM(N9:N10)</f>
        <v>0</v>
      </c>
      <c r="O11" s="70" t="str">
        <f t="shared" si="6"/>
        <v>#DIV/0!</v>
      </c>
      <c r="P11" s="69">
        <f>SUM(P9:P10)</f>
        <v>0</v>
      </c>
      <c r="Q11" s="71">
        <f t="shared" si="7"/>
        <v>0</v>
      </c>
      <c r="R11" s="71">
        <f t="shared" si="8"/>
        <v>0</v>
      </c>
      <c r="S11" s="71">
        <f t="shared" si="9"/>
        <v>0</v>
      </c>
      <c r="T11" s="72"/>
      <c r="U11" s="72"/>
      <c r="V11" s="72"/>
      <c r="W11" s="72"/>
      <c r="X11" s="72"/>
      <c r="Y11" s="72"/>
      <c r="Z11" s="72"/>
    </row>
    <row r="12" ht="10.5" customHeight="1">
      <c r="A12" s="1" t="s">
        <v>15</v>
      </c>
      <c r="B12" s="57">
        <v>0.0</v>
      </c>
      <c r="C12" s="58" t="str">
        <f t="shared" si="1"/>
        <v>#DIV/0!</v>
      </c>
      <c r="D12" s="57">
        <v>0.0</v>
      </c>
      <c r="E12" s="58" t="str">
        <f>(D12-F12)/F12</f>
        <v>#DIV/0!</v>
      </c>
      <c r="F12" s="57">
        <v>0.0</v>
      </c>
      <c r="G12" s="59">
        <v>0.0</v>
      </c>
      <c r="H12" s="60" t="str">
        <f t="shared" si="3"/>
        <v>#DIV/0!</v>
      </c>
      <c r="I12" s="59">
        <v>0.0</v>
      </c>
      <c r="J12" s="60" t="str">
        <f t="shared" si="4"/>
        <v>#DIV/0!</v>
      </c>
      <c r="K12" s="59">
        <v>0.0</v>
      </c>
      <c r="L12" s="61"/>
      <c r="M12" s="62" t="str">
        <f t="shared" si="5"/>
        <v>#DIV/0!</v>
      </c>
      <c r="N12" s="61">
        <v>0.0</v>
      </c>
      <c r="O12" s="62" t="str">
        <f t="shared" si="6"/>
        <v>#DIV/0!</v>
      </c>
      <c r="P12" s="61">
        <v>0.0</v>
      </c>
      <c r="Q12" s="63">
        <f t="shared" si="7"/>
        <v>0</v>
      </c>
      <c r="R12" s="63">
        <f t="shared" si="8"/>
        <v>0</v>
      </c>
      <c r="S12" s="63">
        <f t="shared" si="9"/>
        <v>0</v>
      </c>
      <c r="T12" s="1"/>
      <c r="U12" s="1"/>
      <c r="V12" s="1"/>
      <c r="W12" s="1"/>
      <c r="X12" s="1"/>
      <c r="Y12" s="1"/>
      <c r="Z12" s="1"/>
    </row>
    <row r="13" ht="10.5" customHeight="1">
      <c r="A13" s="64" t="s">
        <v>49</v>
      </c>
      <c r="B13" s="65">
        <f>SUM(B11:B12)</f>
        <v>0</v>
      </c>
      <c r="C13" s="66" t="str">
        <f t="shared" si="1"/>
        <v>#DIV/0!</v>
      </c>
      <c r="D13" s="65">
        <f>SUM(D11:D12)</f>
        <v>0</v>
      </c>
      <c r="E13" s="66" t="str">
        <f>(F13-D13)/F13</f>
        <v>#DIV/0!</v>
      </c>
      <c r="F13" s="65">
        <f t="shared" ref="F13:G13" si="17">SUM(F11:F12)</f>
        <v>0</v>
      </c>
      <c r="G13" s="67">
        <f t="shared" si="17"/>
        <v>0</v>
      </c>
      <c r="H13" s="68" t="str">
        <f t="shared" si="3"/>
        <v>#DIV/0!</v>
      </c>
      <c r="I13" s="67">
        <f>SUM(I11:I12)</f>
        <v>0</v>
      </c>
      <c r="J13" s="68" t="str">
        <f t="shared" si="4"/>
        <v>#DIV/0!</v>
      </c>
      <c r="K13" s="67">
        <f t="shared" ref="K13:L13" si="18">SUM(K11:K12)</f>
        <v>0</v>
      </c>
      <c r="L13" s="69">
        <f t="shared" si="18"/>
        <v>0</v>
      </c>
      <c r="M13" s="70" t="str">
        <f t="shared" si="5"/>
        <v>#DIV/0!</v>
      </c>
      <c r="N13" s="69">
        <f>SUM(N11:N12)</f>
        <v>0</v>
      </c>
      <c r="O13" s="70" t="str">
        <f t="shared" si="6"/>
        <v>#DIV/0!</v>
      </c>
      <c r="P13" s="69">
        <f>SUM(P11:P12)</f>
        <v>0</v>
      </c>
      <c r="Q13" s="71">
        <f t="shared" si="7"/>
        <v>0</v>
      </c>
      <c r="R13" s="71">
        <f t="shared" si="8"/>
        <v>0</v>
      </c>
      <c r="S13" s="71">
        <f t="shared" si="9"/>
        <v>0</v>
      </c>
      <c r="T13" s="72"/>
      <c r="U13" s="72"/>
      <c r="V13" s="72"/>
      <c r="W13" s="72"/>
      <c r="X13" s="72"/>
      <c r="Y13" s="72"/>
      <c r="Z13" s="72"/>
    </row>
    <row r="14" ht="10.5" customHeight="1">
      <c r="A14" s="1" t="s">
        <v>16</v>
      </c>
      <c r="B14" s="57">
        <v>0.0</v>
      </c>
      <c r="C14" s="58" t="str">
        <f t="shared" si="1"/>
        <v>#DIV/0!</v>
      </c>
      <c r="D14" s="57">
        <v>0.0</v>
      </c>
      <c r="E14" s="58" t="str">
        <f>(D14-F14)/F14</f>
        <v>#DIV/0!</v>
      </c>
      <c r="F14" s="57">
        <v>0.0</v>
      </c>
      <c r="G14" s="59">
        <v>0.0</v>
      </c>
      <c r="H14" s="60" t="str">
        <f t="shared" si="3"/>
        <v>#DIV/0!</v>
      </c>
      <c r="I14" s="59">
        <v>0.0</v>
      </c>
      <c r="J14" s="60" t="str">
        <f t="shared" si="4"/>
        <v>#DIV/0!</v>
      </c>
      <c r="K14" s="59">
        <v>0.0</v>
      </c>
      <c r="L14" s="61"/>
      <c r="M14" s="62" t="str">
        <f t="shared" si="5"/>
        <v>#DIV/0!</v>
      </c>
      <c r="N14" s="61">
        <v>0.0</v>
      </c>
      <c r="O14" s="62" t="str">
        <f t="shared" si="6"/>
        <v>#DIV/0!</v>
      </c>
      <c r="P14" s="61">
        <v>0.0</v>
      </c>
      <c r="Q14" s="63">
        <f t="shared" si="7"/>
        <v>0</v>
      </c>
      <c r="R14" s="63">
        <f t="shared" si="8"/>
        <v>0</v>
      </c>
      <c r="S14" s="63">
        <f t="shared" si="9"/>
        <v>0</v>
      </c>
      <c r="T14" s="1"/>
      <c r="U14" s="1"/>
      <c r="V14" s="1"/>
      <c r="W14" s="1"/>
      <c r="X14" s="1"/>
      <c r="Y14" s="1"/>
      <c r="Z14" s="1"/>
    </row>
    <row r="15" ht="10.5" customHeight="1">
      <c r="A15" s="64" t="s">
        <v>49</v>
      </c>
      <c r="B15" s="65">
        <f>SUM(B13:B14)</f>
        <v>0</v>
      </c>
      <c r="C15" s="66" t="str">
        <f t="shared" si="1"/>
        <v>#DIV/0!</v>
      </c>
      <c r="D15" s="65">
        <f>SUM(D13:D14)</f>
        <v>0</v>
      </c>
      <c r="E15" s="66" t="str">
        <f>(F15-D15)/F15</f>
        <v>#DIV/0!</v>
      </c>
      <c r="F15" s="65">
        <f t="shared" ref="F15:G15" si="19">SUM(F13:F14)</f>
        <v>0</v>
      </c>
      <c r="G15" s="67">
        <f t="shared" si="19"/>
        <v>0</v>
      </c>
      <c r="H15" s="68" t="str">
        <f t="shared" si="3"/>
        <v>#DIV/0!</v>
      </c>
      <c r="I15" s="67">
        <f>SUM(I13:I14)</f>
        <v>0</v>
      </c>
      <c r="J15" s="68" t="str">
        <f t="shared" si="4"/>
        <v>#DIV/0!</v>
      </c>
      <c r="K15" s="67">
        <f t="shared" ref="K15:L15" si="20">SUM(K13:K14)</f>
        <v>0</v>
      </c>
      <c r="L15" s="69">
        <f t="shared" si="20"/>
        <v>0</v>
      </c>
      <c r="M15" s="70" t="str">
        <f t="shared" si="5"/>
        <v>#DIV/0!</v>
      </c>
      <c r="N15" s="69">
        <f>SUM(N13:N14)</f>
        <v>0</v>
      </c>
      <c r="O15" s="70" t="str">
        <f t="shared" si="6"/>
        <v>#DIV/0!</v>
      </c>
      <c r="P15" s="69">
        <f>SUM(P13:P14)</f>
        <v>0</v>
      </c>
      <c r="Q15" s="71">
        <f t="shared" si="7"/>
        <v>0</v>
      </c>
      <c r="R15" s="71">
        <f t="shared" si="8"/>
        <v>0</v>
      </c>
      <c r="S15" s="71">
        <f t="shared" si="9"/>
        <v>0</v>
      </c>
      <c r="T15" s="72"/>
      <c r="U15" s="72"/>
      <c r="V15" s="72"/>
      <c r="W15" s="72"/>
      <c r="X15" s="72"/>
      <c r="Y15" s="72"/>
      <c r="Z15" s="72"/>
    </row>
    <row r="16" ht="10.5" customHeight="1">
      <c r="A16" s="1" t="s">
        <v>17</v>
      </c>
      <c r="B16" s="57">
        <v>0.0</v>
      </c>
      <c r="C16" s="58" t="str">
        <f t="shared" si="1"/>
        <v>#DIV/0!</v>
      </c>
      <c r="D16" s="57">
        <v>0.0</v>
      </c>
      <c r="E16" s="58" t="str">
        <f>(D16-F16)/F16</f>
        <v>#DIV/0!</v>
      </c>
      <c r="F16" s="57">
        <v>0.0</v>
      </c>
      <c r="G16" s="59">
        <v>0.0</v>
      </c>
      <c r="H16" s="60" t="str">
        <f t="shared" si="3"/>
        <v>#DIV/0!</v>
      </c>
      <c r="I16" s="59">
        <v>0.0</v>
      </c>
      <c r="J16" s="60" t="str">
        <f t="shared" si="4"/>
        <v>#DIV/0!</v>
      </c>
      <c r="K16" s="59">
        <v>0.0</v>
      </c>
      <c r="L16" s="61"/>
      <c r="M16" s="62" t="str">
        <f t="shared" si="5"/>
        <v>#DIV/0!</v>
      </c>
      <c r="N16" s="61">
        <v>0.0</v>
      </c>
      <c r="O16" s="62" t="str">
        <f t="shared" si="6"/>
        <v>#DIV/0!</v>
      </c>
      <c r="P16" s="61">
        <v>0.0</v>
      </c>
      <c r="Q16" s="63">
        <f t="shared" si="7"/>
        <v>0</v>
      </c>
      <c r="R16" s="63">
        <f t="shared" si="8"/>
        <v>0</v>
      </c>
      <c r="S16" s="63">
        <f t="shared" si="9"/>
        <v>0</v>
      </c>
      <c r="T16" s="1"/>
      <c r="U16" s="1"/>
      <c r="V16" s="1"/>
      <c r="W16" s="1"/>
      <c r="X16" s="1"/>
      <c r="Y16" s="1"/>
      <c r="Z16" s="1"/>
    </row>
    <row r="17" ht="10.5" customHeight="1">
      <c r="A17" s="64" t="s">
        <v>49</v>
      </c>
      <c r="B17" s="65">
        <f>SUM(B15:B16)</f>
        <v>0</v>
      </c>
      <c r="C17" s="66" t="str">
        <f t="shared" si="1"/>
        <v>#DIV/0!</v>
      </c>
      <c r="D17" s="65">
        <f>SUM(D15:D16)</f>
        <v>0</v>
      </c>
      <c r="E17" s="66" t="str">
        <f>(F17-D17)/F17</f>
        <v>#DIV/0!</v>
      </c>
      <c r="F17" s="65">
        <f t="shared" ref="F17:G17" si="21">SUM(F15:F16)</f>
        <v>0</v>
      </c>
      <c r="G17" s="67">
        <f t="shared" si="21"/>
        <v>0</v>
      </c>
      <c r="H17" s="68" t="str">
        <f t="shared" si="3"/>
        <v>#DIV/0!</v>
      </c>
      <c r="I17" s="67">
        <f>SUM(I15:I16)</f>
        <v>0</v>
      </c>
      <c r="J17" s="68" t="str">
        <f t="shared" si="4"/>
        <v>#DIV/0!</v>
      </c>
      <c r="K17" s="67">
        <f t="shared" ref="K17:L17" si="22">SUM(K15:K16)</f>
        <v>0</v>
      </c>
      <c r="L17" s="69">
        <f t="shared" si="22"/>
        <v>0</v>
      </c>
      <c r="M17" s="70" t="str">
        <f t="shared" si="5"/>
        <v>#DIV/0!</v>
      </c>
      <c r="N17" s="69">
        <f>SUM(N15:N16)</f>
        <v>0</v>
      </c>
      <c r="O17" s="70" t="str">
        <f t="shared" si="6"/>
        <v>#DIV/0!</v>
      </c>
      <c r="P17" s="69">
        <f>SUM(P15:P16)</f>
        <v>0</v>
      </c>
      <c r="Q17" s="71">
        <f t="shared" si="7"/>
        <v>0</v>
      </c>
      <c r="R17" s="71">
        <f t="shared" si="8"/>
        <v>0</v>
      </c>
      <c r="S17" s="71">
        <f t="shared" si="9"/>
        <v>0</v>
      </c>
      <c r="T17" s="72"/>
      <c r="U17" s="72"/>
      <c r="V17" s="72"/>
      <c r="W17" s="72"/>
      <c r="X17" s="72"/>
      <c r="Y17" s="72"/>
      <c r="Z17" s="72"/>
    </row>
    <row r="18" ht="10.5" customHeight="1">
      <c r="A18" s="1" t="s">
        <v>18</v>
      </c>
      <c r="B18" s="57">
        <v>0.0</v>
      </c>
      <c r="C18" s="58" t="str">
        <f t="shared" si="1"/>
        <v>#DIV/0!</v>
      </c>
      <c r="D18" s="57">
        <v>0.0</v>
      </c>
      <c r="E18" s="58" t="str">
        <f>(D18-F18)/F18</f>
        <v>#DIV/0!</v>
      </c>
      <c r="F18" s="57">
        <v>0.0</v>
      </c>
      <c r="G18" s="59">
        <v>0.0</v>
      </c>
      <c r="H18" s="60" t="str">
        <f t="shared" si="3"/>
        <v>#DIV/0!</v>
      </c>
      <c r="I18" s="59">
        <v>0.0</v>
      </c>
      <c r="J18" s="60" t="str">
        <f t="shared" si="4"/>
        <v>#DIV/0!</v>
      </c>
      <c r="K18" s="59">
        <v>0.0</v>
      </c>
      <c r="L18" s="61"/>
      <c r="M18" s="62" t="str">
        <f t="shared" si="5"/>
        <v>#DIV/0!</v>
      </c>
      <c r="N18" s="61">
        <v>0.0</v>
      </c>
      <c r="O18" s="62" t="str">
        <f t="shared" si="6"/>
        <v>#DIV/0!</v>
      </c>
      <c r="P18" s="61">
        <v>0.0</v>
      </c>
      <c r="Q18" s="63">
        <f t="shared" si="7"/>
        <v>0</v>
      </c>
      <c r="R18" s="63">
        <f t="shared" si="8"/>
        <v>0</v>
      </c>
      <c r="S18" s="63">
        <f t="shared" si="9"/>
        <v>0</v>
      </c>
      <c r="T18" s="1"/>
      <c r="U18" s="1"/>
      <c r="V18" s="1"/>
      <c r="W18" s="1"/>
      <c r="X18" s="1"/>
      <c r="Y18" s="1"/>
      <c r="Z18" s="1"/>
    </row>
    <row r="19" ht="10.5" customHeight="1">
      <c r="A19" s="64" t="s">
        <v>49</v>
      </c>
      <c r="B19" s="65">
        <f>SUM(B17:B18)</f>
        <v>0</v>
      </c>
      <c r="C19" s="66" t="str">
        <f t="shared" si="1"/>
        <v>#DIV/0!</v>
      </c>
      <c r="D19" s="65">
        <f>SUM(D17:D18)</f>
        <v>0</v>
      </c>
      <c r="E19" s="66" t="str">
        <f>(F19-D19)/F19</f>
        <v>#DIV/0!</v>
      </c>
      <c r="F19" s="65">
        <f t="shared" ref="F19:G19" si="23">SUM(F17:F18)</f>
        <v>0</v>
      </c>
      <c r="G19" s="67">
        <f t="shared" si="23"/>
        <v>0</v>
      </c>
      <c r="H19" s="68" t="str">
        <f t="shared" si="3"/>
        <v>#DIV/0!</v>
      </c>
      <c r="I19" s="67">
        <f>SUM(I17:I18)</f>
        <v>0</v>
      </c>
      <c r="J19" s="68" t="str">
        <f t="shared" si="4"/>
        <v>#DIV/0!</v>
      </c>
      <c r="K19" s="67">
        <f t="shared" ref="K19:L19" si="24">SUM(K17:K18)</f>
        <v>0</v>
      </c>
      <c r="L19" s="69">
        <f t="shared" si="24"/>
        <v>0</v>
      </c>
      <c r="M19" s="70" t="str">
        <f t="shared" si="5"/>
        <v>#DIV/0!</v>
      </c>
      <c r="N19" s="69">
        <f>SUM(N17:N18)</f>
        <v>0</v>
      </c>
      <c r="O19" s="70" t="str">
        <f t="shared" si="6"/>
        <v>#DIV/0!</v>
      </c>
      <c r="P19" s="69">
        <f>SUM(P17:P18)</f>
        <v>0</v>
      </c>
      <c r="Q19" s="71">
        <f t="shared" si="7"/>
        <v>0</v>
      </c>
      <c r="R19" s="71">
        <f t="shared" si="8"/>
        <v>0</v>
      </c>
      <c r="S19" s="71">
        <f t="shared" si="9"/>
        <v>0</v>
      </c>
      <c r="T19" s="72"/>
      <c r="U19" s="72"/>
      <c r="V19" s="72"/>
      <c r="W19" s="72"/>
      <c r="X19" s="72"/>
      <c r="Y19" s="72"/>
      <c r="Z19" s="72"/>
    </row>
    <row r="20" ht="10.5" customHeight="1">
      <c r="A20" s="1" t="s">
        <v>19</v>
      </c>
      <c r="B20" s="57">
        <v>0.0</v>
      </c>
      <c r="C20" s="58" t="str">
        <f t="shared" si="1"/>
        <v>#DIV/0!</v>
      </c>
      <c r="D20" s="57">
        <v>0.0</v>
      </c>
      <c r="E20" s="58" t="str">
        <f>(D20-F20)/F20</f>
        <v>#DIV/0!</v>
      </c>
      <c r="F20" s="57">
        <v>0.0</v>
      </c>
      <c r="G20" s="59">
        <v>0.0</v>
      </c>
      <c r="H20" s="60" t="str">
        <f t="shared" si="3"/>
        <v>#DIV/0!</v>
      </c>
      <c r="I20" s="59">
        <v>0.0</v>
      </c>
      <c r="J20" s="60" t="str">
        <f t="shared" si="4"/>
        <v>#DIV/0!</v>
      </c>
      <c r="K20" s="59">
        <v>0.0</v>
      </c>
      <c r="L20" s="61"/>
      <c r="M20" s="62" t="str">
        <f t="shared" si="5"/>
        <v>#DIV/0!</v>
      </c>
      <c r="N20" s="61">
        <v>0.0</v>
      </c>
      <c r="O20" s="62" t="str">
        <f t="shared" si="6"/>
        <v>#DIV/0!</v>
      </c>
      <c r="P20" s="61">
        <v>0.0</v>
      </c>
      <c r="Q20" s="63">
        <f t="shared" si="7"/>
        <v>0</v>
      </c>
      <c r="R20" s="63">
        <f t="shared" si="8"/>
        <v>0</v>
      </c>
      <c r="S20" s="63">
        <f t="shared" si="9"/>
        <v>0</v>
      </c>
      <c r="T20" s="1"/>
      <c r="U20" s="1"/>
      <c r="V20" s="1"/>
      <c r="W20" s="1"/>
      <c r="X20" s="1"/>
      <c r="Y20" s="1"/>
      <c r="Z20" s="1"/>
    </row>
    <row r="21" ht="10.5" customHeight="1">
      <c r="A21" s="64" t="s">
        <v>49</v>
      </c>
      <c r="B21" s="65">
        <f>SUM(B19:B20)</f>
        <v>0</v>
      </c>
      <c r="C21" s="66" t="str">
        <f t="shared" si="1"/>
        <v>#DIV/0!</v>
      </c>
      <c r="D21" s="65">
        <f>SUM(D19:D20)</f>
        <v>0</v>
      </c>
      <c r="E21" s="66" t="str">
        <f>(F21-D21)/F21</f>
        <v>#DIV/0!</v>
      </c>
      <c r="F21" s="65">
        <f t="shared" ref="F21:G21" si="25">SUM(F19:F20)</f>
        <v>0</v>
      </c>
      <c r="G21" s="67">
        <f t="shared" si="25"/>
        <v>0</v>
      </c>
      <c r="H21" s="68" t="str">
        <f t="shared" si="3"/>
        <v>#DIV/0!</v>
      </c>
      <c r="I21" s="67">
        <f>SUM(I19:I20)</f>
        <v>0</v>
      </c>
      <c r="J21" s="68" t="str">
        <f t="shared" si="4"/>
        <v>#DIV/0!</v>
      </c>
      <c r="K21" s="67">
        <f t="shared" ref="K21:L21" si="26">SUM(K19:K20)</f>
        <v>0</v>
      </c>
      <c r="L21" s="69">
        <f t="shared" si="26"/>
        <v>0</v>
      </c>
      <c r="M21" s="70" t="str">
        <f t="shared" si="5"/>
        <v>#DIV/0!</v>
      </c>
      <c r="N21" s="69">
        <f>SUM(N19:N20)</f>
        <v>0</v>
      </c>
      <c r="O21" s="70" t="str">
        <f t="shared" si="6"/>
        <v>#DIV/0!</v>
      </c>
      <c r="P21" s="69">
        <f>SUM(P19:P20)</f>
        <v>0</v>
      </c>
      <c r="Q21" s="71">
        <f t="shared" si="7"/>
        <v>0</v>
      </c>
      <c r="R21" s="71">
        <f t="shared" si="8"/>
        <v>0</v>
      </c>
      <c r="S21" s="71">
        <f t="shared" si="9"/>
        <v>0</v>
      </c>
      <c r="T21" s="72"/>
      <c r="U21" s="72"/>
      <c r="V21" s="72"/>
      <c r="W21" s="72"/>
      <c r="X21" s="72"/>
      <c r="Y21" s="72"/>
      <c r="Z21" s="72"/>
    </row>
    <row r="22" ht="10.5" customHeight="1">
      <c r="A22" s="1" t="s">
        <v>20</v>
      </c>
      <c r="B22" s="57">
        <v>0.0</v>
      </c>
      <c r="C22" s="58" t="str">
        <f t="shared" si="1"/>
        <v>#DIV/0!</v>
      </c>
      <c r="D22" s="57">
        <v>0.0</v>
      </c>
      <c r="E22" s="58" t="str">
        <f>(D22-F22)/F22</f>
        <v>#DIV/0!</v>
      </c>
      <c r="F22" s="57">
        <v>0.0</v>
      </c>
      <c r="G22" s="59">
        <v>0.0</v>
      </c>
      <c r="H22" s="60" t="str">
        <f t="shared" si="3"/>
        <v>#DIV/0!</v>
      </c>
      <c r="I22" s="59">
        <v>0.0</v>
      </c>
      <c r="J22" s="60" t="str">
        <f t="shared" si="4"/>
        <v>#DIV/0!</v>
      </c>
      <c r="K22" s="59">
        <v>0.0</v>
      </c>
      <c r="L22" s="61"/>
      <c r="M22" s="62" t="str">
        <f t="shared" si="5"/>
        <v>#DIV/0!</v>
      </c>
      <c r="N22" s="61">
        <v>0.0</v>
      </c>
      <c r="O22" s="62" t="str">
        <f t="shared" si="6"/>
        <v>#DIV/0!</v>
      </c>
      <c r="P22" s="61">
        <v>0.0</v>
      </c>
      <c r="Q22" s="63">
        <f t="shared" si="7"/>
        <v>0</v>
      </c>
      <c r="R22" s="63">
        <f t="shared" si="8"/>
        <v>0</v>
      </c>
      <c r="S22" s="63">
        <f t="shared" si="9"/>
        <v>0</v>
      </c>
      <c r="T22" s="1"/>
      <c r="U22" s="1"/>
      <c r="V22" s="1"/>
      <c r="W22" s="1"/>
      <c r="X22" s="1"/>
      <c r="Y22" s="1"/>
      <c r="Z22" s="1"/>
    </row>
    <row r="23" ht="10.5" customHeight="1">
      <c r="A23" s="64" t="s">
        <v>49</v>
      </c>
      <c r="B23" s="65">
        <f>SUM(B21:B22)</f>
        <v>0</v>
      </c>
      <c r="C23" s="66" t="str">
        <f t="shared" si="1"/>
        <v>#DIV/0!</v>
      </c>
      <c r="D23" s="65">
        <f>SUM(D21:D22)</f>
        <v>0</v>
      </c>
      <c r="E23" s="66" t="str">
        <f>(F23-D23)/F23</f>
        <v>#DIV/0!</v>
      </c>
      <c r="F23" s="65">
        <f t="shared" ref="F23:G23" si="27">SUM(F21:F22)</f>
        <v>0</v>
      </c>
      <c r="G23" s="67">
        <f t="shared" si="27"/>
        <v>0</v>
      </c>
      <c r="H23" s="68" t="str">
        <f t="shared" si="3"/>
        <v>#DIV/0!</v>
      </c>
      <c r="I23" s="67">
        <f>SUM(I21:I22)</f>
        <v>0</v>
      </c>
      <c r="J23" s="68" t="str">
        <f t="shared" si="4"/>
        <v>#DIV/0!</v>
      </c>
      <c r="K23" s="67">
        <f t="shared" ref="K23:L23" si="28">SUM(K21:K22)</f>
        <v>0</v>
      </c>
      <c r="L23" s="69">
        <f t="shared" si="28"/>
        <v>0</v>
      </c>
      <c r="M23" s="70" t="str">
        <f t="shared" si="5"/>
        <v>#DIV/0!</v>
      </c>
      <c r="N23" s="69">
        <f>SUM(N21:N22)</f>
        <v>0</v>
      </c>
      <c r="O23" s="70" t="str">
        <f t="shared" si="6"/>
        <v>#DIV/0!</v>
      </c>
      <c r="P23" s="69">
        <f>SUM(P21:P22)</f>
        <v>0</v>
      </c>
      <c r="Q23" s="71">
        <f t="shared" si="7"/>
        <v>0</v>
      </c>
      <c r="R23" s="71">
        <f t="shared" si="8"/>
        <v>0</v>
      </c>
      <c r="S23" s="71">
        <f t="shared" si="9"/>
        <v>0</v>
      </c>
      <c r="T23" s="72"/>
      <c r="U23" s="72"/>
      <c r="V23" s="72"/>
      <c r="W23" s="72"/>
      <c r="X23" s="72"/>
      <c r="Y23" s="72"/>
      <c r="Z23" s="72"/>
    </row>
    <row r="24" ht="10.5" customHeight="1">
      <c r="A24" s="23" t="s">
        <v>21</v>
      </c>
      <c r="B24" s="73">
        <v>0.0</v>
      </c>
      <c r="C24" s="74" t="str">
        <f t="shared" si="1"/>
        <v>#DIV/0!</v>
      </c>
      <c r="D24" s="73">
        <v>0.0</v>
      </c>
      <c r="E24" s="74" t="str">
        <f t="shared" ref="E24:E25" si="29">(D24-F24)/F24</f>
        <v>#DIV/0!</v>
      </c>
      <c r="F24" s="73">
        <v>0.0</v>
      </c>
      <c r="G24" s="75">
        <v>0.0</v>
      </c>
      <c r="H24" s="76" t="str">
        <f t="shared" si="3"/>
        <v>#DIV/0!</v>
      </c>
      <c r="I24" s="75">
        <v>0.0</v>
      </c>
      <c r="J24" s="76" t="str">
        <f t="shared" si="4"/>
        <v>#DIV/0!</v>
      </c>
      <c r="K24" s="75">
        <v>0.0</v>
      </c>
      <c r="L24" s="77"/>
      <c r="M24" s="78" t="str">
        <f t="shared" si="5"/>
        <v>#DIV/0!</v>
      </c>
      <c r="N24" s="77">
        <v>0.0</v>
      </c>
      <c r="O24" s="78" t="str">
        <f t="shared" si="6"/>
        <v>#DIV/0!</v>
      </c>
      <c r="P24" s="77">
        <v>0.0</v>
      </c>
      <c r="Q24" s="79">
        <f t="shared" si="7"/>
        <v>0</v>
      </c>
      <c r="R24" s="79">
        <f t="shared" si="8"/>
        <v>0</v>
      </c>
      <c r="S24" s="79">
        <f t="shared" si="9"/>
        <v>0</v>
      </c>
      <c r="T24" s="23"/>
      <c r="U24" s="23"/>
      <c r="V24" s="23"/>
      <c r="W24" s="23"/>
      <c r="X24" s="23"/>
      <c r="Y24" s="23"/>
      <c r="Z24" s="23"/>
    </row>
    <row r="25" ht="10.5" customHeight="1">
      <c r="A25" s="6" t="s">
        <v>22</v>
      </c>
      <c r="B25" s="80">
        <f>B23+B24</f>
        <v>0</v>
      </c>
      <c r="C25" s="58" t="str">
        <f t="shared" si="1"/>
        <v>#DIV/0!</v>
      </c>
      <c r="D25" s="80">
        <f>D23+D24</f>
        <v>0</v>
      </c>
      <c r="E25" s="58" t="str">
        <f t="shared" si="29"/>
        <v>#DIV/0!</v>
      </c>
      <c r="F25" s="80">
        <f t="shared" ref="F25:G25" si="30">F23+F24</f>
        <v>0</v>
      </c>
      <c r="G25" s="81">
        <f t="shared" si="30"/>
        <v>0</v>
      </c>
      <c r="H25" s="60" t="str">
        <f t="shared" si="3"/>
        <v>#DIV/0!</v>
      </c>
      <c r="I25" s="81">
        <f>I23+I24</f>
        <v>0</v>
      </c>
      <c r="J25" s="60" t="str">
        <f t="shared" si="4"/>
        <v>#DIV/0!</v>
      </c>
      <c r="K25" s="81">
        <f t="shared" ref="K25:L25" si="31">K23+K24</f>
        <v>0</v>
      </c>
      <c r="L25" s="82">
        <f t="shared" si="31"/>
        <v>0</v>
      </c>
      <c r="M25" s="62" t="str">
        <f t="shared" si="5"/>
        <v>#DIV/0!</v>
      </c>
      <c r="N25" s="82">
        <f>N23+N24</f>
        <v>0</v>
      </c>
      <c r="O25" s="62" t="str">
        <f t="shared" si="6"/>
        <v>#DIV/0!</v>
      </c>
      <c r="P25" s="82">
        <f>P23+P24</f>
        <v>0</v>
      </c>
      <c r="Q25" s="83">
        <f t="shared" si="7"/>
        <v>0</v>
      </c>
      <c r="R25" s="83">
        <f t="shared" si="8"/>
        <v>0</v>
      </c>
      <c r="S25" s="83">
        <f t="shared" si="9"/>
        <v>0</v>
      </c>
      <c r="T25" s="6"/>
      <c r="U25" s="6"/>
      <c r="V25" s="6"/>
      <c r="W25" s="6"/>
      <c r="X25" s="6"/>
      <c r="Y25" s="6"/>
      <c r="Z25" s="6"/>
    </row>
    <row r="26" ht="10.5" customHeight="1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ht="10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0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0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0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0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0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0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0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0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0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0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0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0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0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0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0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0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0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0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0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0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0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0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0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0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0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0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0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0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0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0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0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0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0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0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0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0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0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0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0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0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0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0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0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0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0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0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0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0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0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0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0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0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0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0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0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0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0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0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0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0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0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0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0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0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0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0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0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0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0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0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0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0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0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0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0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0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0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0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0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0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0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0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0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0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0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0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0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0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0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0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0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0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0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0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0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0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0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0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0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0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0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0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0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0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0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0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0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0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0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0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0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0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0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0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0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0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0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0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0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0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0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0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0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0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0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0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0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0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0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0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0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0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0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0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0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0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0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0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0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0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0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0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0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0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0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0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0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0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0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0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0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0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0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0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0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0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0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0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0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0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0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0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0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0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0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0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0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0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0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0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0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0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0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0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0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0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0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0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0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0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0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0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0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0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0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0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0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0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0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0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0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0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0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0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0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0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0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0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0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0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0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0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0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0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0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0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0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0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0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0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0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0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0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0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0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0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0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0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0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0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0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0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0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0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0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0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0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0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0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0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0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0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0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0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0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0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0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0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0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0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0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0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0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0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0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0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0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0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0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0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0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0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0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0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0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0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0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0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0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0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0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0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0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0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0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0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0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0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0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0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0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0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0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0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0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0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0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0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0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0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0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0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0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0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0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0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0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0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0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0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0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0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0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0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0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0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0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0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0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0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0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0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0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0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0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0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0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0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0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0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0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0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0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0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0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0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0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0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0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0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0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0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0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0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0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0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0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0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0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0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0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0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0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0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0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0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0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0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0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0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0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0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0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0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0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0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0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0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0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0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0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0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0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0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0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0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0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0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0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0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0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0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0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0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0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0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0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0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0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0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0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0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0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0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0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0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0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0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0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0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0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0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0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0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0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0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0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0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0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0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0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0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0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0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0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0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0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0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0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0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0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0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0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0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0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0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0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0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0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0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0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0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0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0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0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0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0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0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0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0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0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0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0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0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0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0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0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0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0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0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0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0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0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0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0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0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0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0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0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0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0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0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0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0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0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0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0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0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0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0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0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0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0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0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0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0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0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0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0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0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0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0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0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0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0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0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0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0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0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0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0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0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0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0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0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0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0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0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0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0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0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0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0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0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0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0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0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0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0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0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0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0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0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0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0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0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0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0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0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0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0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0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0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0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0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0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0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0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0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0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0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0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0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0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0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0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0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0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0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0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0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0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0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0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0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0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0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0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0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0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0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0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0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0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0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0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0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0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0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0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0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0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0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0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0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0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0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0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0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0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0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0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0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0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0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0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0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0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0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0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0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0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0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0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0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0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0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0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0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0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0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0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0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0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0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0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0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0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0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0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0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0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0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0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0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0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0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0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0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0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0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0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0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0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0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0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0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0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0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0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0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0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0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0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0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0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0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0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0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0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0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0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0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0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0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0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0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0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0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0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0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0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0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0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0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0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0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0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0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0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0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0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0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0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0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0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0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0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0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0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0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0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0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0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0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0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0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0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0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0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0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0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0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0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0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0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0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0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0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0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0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0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0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0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0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0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0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0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0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0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0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0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0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0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0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0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0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0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0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0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0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0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0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0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0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0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0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0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0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0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0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0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0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0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0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0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0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0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0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0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0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0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0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0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0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0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0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0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0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0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0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0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0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0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0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0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0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0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0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0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0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0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0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0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0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0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0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0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0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0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0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0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0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0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0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0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0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0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0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0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0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0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0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0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0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0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0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0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0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0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0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0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0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0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0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0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0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0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0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0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0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0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0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0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0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0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0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0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0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0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0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0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0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0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0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0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0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0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0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0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0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0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0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0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0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0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0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0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0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0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0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0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0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0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0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0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0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0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0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0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0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0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0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0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0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0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0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0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0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0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0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0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0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0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0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0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0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0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0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0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0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0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0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0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0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0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0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0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0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0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0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0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0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0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0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0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0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0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0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0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0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0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0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0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0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0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0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0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0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0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0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0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0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0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0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0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0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0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0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0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0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0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0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0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0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0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0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0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0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0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0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0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0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0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0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0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0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0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0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0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0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0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0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0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0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0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0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0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0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0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0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0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0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0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0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0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0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0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0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0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0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0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0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0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0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0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0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0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0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0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0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0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0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0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0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0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0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0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0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0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0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0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0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0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0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0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0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0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0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0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0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0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0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0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0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0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0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0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0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0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0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0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0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0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0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0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0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0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0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0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0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0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0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0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0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0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0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0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0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0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0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0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0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0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0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0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0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0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0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0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0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0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0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F1"/>
    <mergeCell ref="G1:K1"/>
    <mergeCell ref="L1:P1"/>
    <mergeCell ref="Q1:S1"/>
  </mergeCells>
  <conditionalFormatting sqref="A1:Q1 T1:Z1">
    <cfRule type="cellIs" dxfId="0" priority="1" operator="less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4" width="7.86"/>
    <col customWidth="1" min="5" max="5" width="6.57"/>
    <col customWidth="1" min="6" max="7" width="7.86"/>
    <col customWidth="1" min="8" max="8" width="7.43"/>
    <col customWidth="1" min="9" max="9" width="6.71"/>
    <col customWidth="1" min="10" max="10" width="6.57"/>
    <col customWidth="1" min="11" max="11" width="6.71"/>
    <col customWidth="1" min="12" max="12" width="7.86"/>
    <col customWidth="1" min="13" max="13" width="7.43"/>
    <col customWidth="1" min="14" max="14" width="6.71"/>
    <col customWidth="1" min="15" max="15" width="6.57"/>
    <col customWidth="1" min="16" max="17" width="7.86"/>
    <col customWidth="1" min="18" max="18" width="6.71"/>
    <col customWidth="1" min="19" max="19" width="7.86"/>
    <col customWidth="1" min="20" max="20" width="6.57"/>
    <col customWidth="1" min="21" max="21" width="7.86"/>
    <col customWidth="1" min="22" max="26" width="9.0"/>
  </cols>
  <sheetData>
    <row r="1" ht="10.5" customHeight="1">
      <c r="A1" s="33" t="s">
        <v>50</v>
      </c>
      <c r="B1" s="85">
        <v>2024.0</v>
      </c>
      <c r="C1" s="86" t="s">
        <v>44</v>
      </c>
      <c r="D1" s="85">
        <v>2025.0</v>
      </c>
      <c r="E1" s="86" t="s">
        <v>45</v>
      </c>
      <c r="F1" s="33" t="s">
        <v>9</v>
      </c>
      <c r="G1" s="87" t="s">
        <v>51</v>
      </c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ht="10.5" customHeight="1">
      <c r="A2" s="89" t="s">
        <v>0</v>
      </c>
      <c r="B2" s="90">
        <f>'Ricavi Gruppo x asset'!B25</f>
        <v>0</v>
      </c>
      <c r="C2" s="91" t="str">
        <f t="shared" ref="C2:C5" si="1">(D2-B2)/B2</f>
        <v>#DIV/0!</v>
      </c>
      <c r="D2" s="90">
        <f>'Ricavi Gruppo x asset'!D25</f>
        <v>0</v>
      </c>
      <c r="E2" s="91" t="str">
        <f t="shared" ref="E2:E5" si="2">(D2-F2)/D2</f>
        <v>#DIV/0!</v>
      </c>
      <c r="F2" s="90">
        <f>'Ricavi Gruppo x asset'!F25</f>
        <v>0</v>
      </c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10.5" customHeight="1">
      <c r="A3" s="93" t="s">
        <v>2</v>
      </c>
      <c r="B3" s="90">
        <f>'Ricavi Gruppo x asset'!G25</f>
        <v>0</v>
      </c>
      <c r="C3" s="91" t="str">
        <f t="shared" si="1"/>
        <v>#DIV/0!</v>
      </c>
      <c r="D3" s="90">
        <f>'Ricavi Gruppo x asset'!I25</f>
        <v>0</v>
      </c>
      <c r="E3" s="91" t="str">
        <f t="shared" si="2"/>
        <v>#DIV/0!</v>
      </c>
      <c r="F3" s="90">
        <f>'Ricavi Gruppo x asset'!K25</f>
        <v>0</v>
      </c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10.5" customHeight="1">
      <c r="A4" s="94" t="s">
        <v>52</v>
      </c>
      <c r="B4" s="90">
        <f>'Ricavi Gruppo x asset'!L25</f>
        <v>0</v>
      </c>
      <c r="C4" s="91" t="str">
        <f t="shared" si="1"/>
        <v>#DIV/0!</v>
      </c>
      <c r="D4" s="90">
        <f>'Ricavi Gruppo x asset'!N25</f>
        <v>0</v>
      </c>
      <c r="E4" s="91" t="str">
        <f t="shared" si="2"/>
        <v>#DIV/0!</v>
      </c>
      <c r="F4" s="90">
        <f>'Ricavi Gruppo x asset'!P25</f>
        <v>0</v>
      </c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10.5" customHeight="1">
      <c r="A5" s="6" t="s">
        <v>22</v>
      </c>
      <c r="B5" s="95">
        <f>SUM(B2:B4)</f>
        <v>0</v>
      </c>
      <c r="C5" s="96" t="str">
        <f t="shared" si="1"/>
        <v>#DIV/0!</v>
      </c>
      <c r="D5" s="95">
        <f>SUM(D2:D4)</f>
        <v>0</v>
      </c>
      <c r="E5" s="96" t="str">
        <f t="shared" si="2"/>
        <v>#DIV/0!</v>
      </c>
      <c r="F5" s="95">
        <f>SUM(F2:F4)</f>
        <v>0</v>
      </c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10.5" customHeight="1">
      <c r="A6" s="97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10.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10.5" customHeight="1">
      <c r="A8" s="6" t="s">
        <v>53</v>
      </c>
      <c r="B8" s="7" t="s">
        <v>3</v>
      </c>
      <c r="C8" s="3"/>
      <c r="D8" s="3"/>
      <c r="E8" s="3"/>
      <c r="F8" s="4"/>
      <c r="G8" s="98" t="s">
        <v>4</v>
      </c>
      <c r="H8" s="99"/>
      <c r="I8" s="99"/>
      <c r="J8" s="99"/>
      <c r="K8" s="100"/>
      <c r="L8" s="101" t="s">
        <v>5</v>
      </c>
      <c r="M8" s="99"/>
      <c r="N8" s="99"/>
      <c r="O8" s="99"/>
      <c r="P8" s="100"/>
      <c r="Q8" s="102" t="s">
        <v>6</v>
      </c>
      <c r="R8" s="99"/>
      <c r="S8" s="99"/>
      <c r="T8" s="99"/>
      <c r="U8" s="100"/>
      <c r="V8" s="92"/>
      <c r="W8" s="92"/>
      <c r="X8" s="92"/>
      <c r="Y8" s="92"/>
      <c r="Z8" s="92"/>
    </row>
    <row r="9" ht="10.5" customHeight="1">
      <c r="A9" s="6"/>
      <c r="B9" s="103">
        <v>2024.0</v>
      </c>
      <c r="C9" s="103" t="s">
        <v>44</v>
      </c>
      <c r="D9" s="103">
        <v>2025.0</v>
      </c>
      <c r="E9" s="103" t="s">
        <v>45</v>
      </c>
      <c r="F9" s="103" t="s">
        <v>8</v>
      </c>
      <c r="G9" s="104">
        <v>2024.0</v>
      </c>
      <c r="H9" s="104" t="s">
        <v>44</v>
      </c>
      <c r="I9" s="104">
        <v>2025.0</v>
      </c>
      <c r="J9" s="104" t="s">
        <v>45</v>
      </c>
      <c r="K9" s="104" t="s">
        <v>9</v>
      </c>
      <c r="L9" s="105">
        <v>2024.0</v>
      </c>
      <c r="M9" s="105" t="s">
        <v>44</v>
      </c>
      <c r="N9" s="105">
        <v>2025.0</v>
      </c>
      <c r="O9" s="105" t="s">
        <v>45</v>
      </c>
      <c r="P9" s="105" t="s">
        <v>9</v>
      </c>
      <c r="Q9" s="106">
        <v>2024.0</v>
      </c>
      <c r="R9" s="106" t="s">
        <v>54</v>
      </c>
      <c r="S9" s="106">
        <v>2025.0</v>
      </c>
      <c r="T9" s="106" t="s">
        <v>45</v>
      </c>
      <c r="U9" s="106" t="s">
        <v>9</v>
      </c>
      <c r="V9" s="92"/>
      <c r="W9" s="92"/>
      <c r="X9" s="92"/>
      <c r="Y9" s="92"/>
      <c r="Z9" s="92"/>
    </row>
    <row r="10" ht="10.5" customHeight="1">
      <c r="A10" s="89" t="s">
        <v>55</v>
      </c>
      <c r="B10" s="90">
        <f>'Costi x asset'!B16</f>
        <v>0</v>
      </c>
      <c r="C10" s="34" t="str">
        <f t="shared" ref="C10:C13" si="3">(D10-B10)/B10</f>
        <v>#DIV/0!</v>
      </c>
      <c r="D10" s="90">
        <f>'Costi x asset'!C16</f>
        <v>0</v>
      </c>
      <c r="E10" s="34" t="str">
        <f t="shared" ref="E10:E13" si="4">(F10-D10)/D10</f>
        <v>#DIV/0!</v>
      </c>
      <c r="F10" s="90">
        <f>'Costi x asset'!D16</f>
        <v>0</v>
      </c>
      <c r="G10" s="90">
        <f>'Costi x asset'!E16</f>
        <v>0</v>
      </c>
      <c r="H10" s="34" t="str">
        <f t="shared" ref="H10:H13" si="5">(I10-G10)/G10</f>
        <v>#DIV/0!</v>
      </c>
      <c r="I10" s="90">
        <f>'Costi x asset'!F16</f>
        <v>0</v>
      </c>
      <c r="J10" s="34" t="str">
        <f t="shared" ref="J10:J13" si="6">(K10-I10)/I10</f>
        <v>#DIV/0!</v>
      </c>
      <c r="K10" s="90">
        <f>'Costi x asset'!G16</f>
        <v>0</v>
      </c>
      <c r="L10" s="90">
        <f>'Costi x asset'!H16</f>
        <v>0</v>
      </c>
      <c r="M10" s="34" t="str">
        <f t="shared" ref="M10:M13" si="7">(N10-L10)/L10</f>
        <v>#DIV/0!</v>
      </c>
      <c r="N10" s="90">
        <f>'Costi x asset'!I16</f>
        <v>0</v>
      </c>
      <c r="O10" s="34" t="str">
        <f t="shared" ref="O10:O13" si="8">(P10-N10)/N10</f>
        <v>#DIV/0!</v>
      </c>
      <c r="P10" s="90">
        <f>'Costi x asset'!J16</f>
        <v>0</v>
      </c>
      <c r="Q10" s="90">
        <f>'Costi x asset'!K16</f>
        <v>0</v>
      </c>
      <c r="R10" s="34" t="str">
        <f t="shared" ref="R10:R13" si="9">(S10-Q10)/Q10</f>
        <v>#DIV/0!</v>
      </c>
      <c r="S10" s="90">
        <f>'Costi x asset'!L16</f>
        <v>0</v>
      </c>
      <c r="T10" s="34" t="str">
        <f t="shared" ref="T10:T13" si="10">(U10-S10)/S10</f>
        <v>#DIV/0!</v>
      </c>
      <c r="U10" s="90">
        <f>'Costi x asset'!M16</f>
        <v>0</v>
      </c>
      <c r="V10" s="92"/>
      <c r="W10" s="92"/>
      <c r="X10" s="92"/>
      <c r="Y10" s="92"/>
      <c r="Z10" s="92"/>
    </row>
    <row r="11" ht="10.5" customHeight="1">
      <c r="A11" s="93" t="s">
        <v>56</v>
      </c>
      <c r="B11" s="90">
        <f>'Costi x asset'!P16</f>
        <v>0</v>
      </c>
      <c r="C11" s="34" t="str">
        <f t="shared" si="3"/>
        <v>#DIV/0!</v>
      </c>
      <c r="D11" s="90">
        <f>'Costi x asset'!Q16</f>
        <v>0</v>
      </c>
      <c r="E11" s="34" t="str">
        <f t="shared" si="4"/>
        <v>#DIV/0!</v>
      </c>
      <c r="F11" s="90">
        <f>'Costi x asset'!R16</f>
        <v>0</v>
      </c>
      <c r="G11" s="90">
        <f>'Costi x asset'!S16</f>
        <v>0</v>
      </c>
      <c r="H11" s="34" t="str">
        <f t="shared" si="5"/>
        <v>#DIV/0!</v>
      </c>
      <c r="I11" s="90">
        <f>'Costi x asset'!T16</f>
        <v>0</v>
      </c>
      <c r="J11" s="34" t="str">
        <f t="shared" si="6"/>
        <v>#DIV/0!</v>
      </c>
      <c r="K11" s="90">
        <f>'Costi x asset'!U16</f>
        <v>0</v>
      </c>
      <c r="L11" s="90">
        <f>'Costi x asset'!V16</f>
        <v>0</v>
      </c>
      <c r="M11" s="34" t="str">
        <f t="shared" si="7"/>
        <v>#DIV/0!</v>
      </c>
      <c r="N11" s="90">
        <f>'Costi x asset'!W16</f>
        <v>0</v>
      </c>
      <c r="O11" s="34" t="str">
        <f t="shared" si="8"/>
        <v>#DIV/0!</v>
      </c>
      <c r="P11" s="90">
        <f>'Costi x asset'!X16</f>
        <v>0</v>
      </c>
      <c r="Q11" s="90">
        <f>'Costi x asset'!Y16</f>
        <v>0</v>
      </c>
      <c r="R11" s="34" t="str">
        <f t="shared" si="9"/>
        <v>#DIV/0!</v>
      </c>
      <c r="S11" s="90">
        <f>'Costi x asset'!Z16</f>
        <v>0</v>
      </c>
      <c r="T11" s="34" t="str">
        <f t="shared" si="10"/>
        <v>#DIV/0!</v>
      </c>
      <c r="U11" s="90">
        <f>'Costi x asset'!AA16</f>
        <v>0</v>
      </c>
      <c r="V11" s="92"/>
      <c r="W11" s="92"/>
      <c r="X11" s="92"/>
      <c r="Y11" s="92"/>
      <c r="Z11" s="92"/>
    </row>
    <row r="12" ht="10.5" customHeight="1">
      <c r="A12" s="94" t="s">
        <v>24</v>
      </c>
      <c r="B12" s="90">
        <f>'Costi x asset'!B34</f>
        <v>0</v>
      </c>
      <c r="C12" s="34" t="str">
        <f t="shared" si="3"/>
        <v>#DIV/0!</v>
      </c>
      <c r="D12" s="90">
        <f>'Costi x asset'!C34</f>
        <v>0</v>
      </c>
      <c r="E12" s="34" t="str">
        <f t="shared" si="4"/>
        <v>#DIV/0!</v>
      </c>
      <c r="F12" s="90">
        <f>'Costi x asset'!D34</f>
        <v>0</v>
      </c>
      <c r="G12" s="90">
        <f>'Costi x asset'!E34</f>
        <v>0</v>
      </c>
      <c r="H12" s="34" t="str">
        <f t="shared" si="5"/>
        <v>#DIV/0!</v>
      </c>
      <c r="I12" s="90">
        <f>'Costi x asset'!F34</f>
        <v>0</v>
      </c>
      <c r="J12" s="34" t="str">
        <f t="shared" si="6"/>
        <v>#DIV/0!</v>
      </c>
      <c r="K12" s="90">
        <f>'Costi x asset'!G34</f>
        <v>0</v>
      </c>
      <c r="L12" s="90">
        <f>'Costi x asset'!H34</f>
        <v>0</v>
      </c>
      <c r="M12" s="34" t="str">
        <f t="shared" si="7"/>
        <v>#DIV/0!</v>
      </c>
      <c r="N12" s="90">
        <f>'Costi x asset'!I34</f>
        <v>0</v>
      </c>
      <c r="O12" s="34" t="str">
        <f t="shared" si="8"/>
        <v>#DIV/0!</v>
      </c>
      <c r="P12" s="90">
        <f>'Costi x asset'!J34</f>
        <v>0</v>
      </c>
      <c r="Q12" s="90">
        <f>'Costi x asset'!K34</f>
        <v>0</v>
      </c>
      <c r="R12" s="34" t="str">
        <f t="shared" si="9"/>
        <v>#DIV/0!</v>
      </c>
      <c r="S12" s="90">
        <f>'Costi x asset'!L34</f>
        <v>0</v>
      </c>
      <c r="T12" s="34" t="str">
        <f t="shared" si="10"/>
        <v>#DIV/0!</v>
      </c>
      <c r="U12" s="90">
        <f>'Costi x asset'!M34</f>
        <v>0</v>
      </c>
      <c r="V12" s="92"/>
      <c r="W12" s="92"/>
      <c r="X12" s="92"/>
      <c r="Y12" s="92"/>
      <c r="Z12" s="92"/>
    </row>
    <row r="13" ht="10.5" customHeight="1">
      <c r="A13" s="6" t="s">
        <v>22</v>
      </c>
      <c r="B13" s="95">
        <f>SUM(B10:B12)</f>
        <v>0</v>
      </c>
      <c r="C13" s="34" t="str">
        <f t="shared" si="3"/>
        <v>#DIV/0!</v>
      </c>
      <c r="D13" s="95">
        <f>SUM(D10:D12)</f>
        <v>0</v>
      </c>
      <c r="E13" s="34" t="str">
        <f t="shared" si="4"/>
        <v>#DIV/0!</v>
      </c>
      <c r="F13" s="95">
        <f t="shared" ref="F13:G13" si="11">SUM(F10:F12)</f>
        <v>0</v>
      </c>
      <c r="G13" s="95">
        <f t="shared" si="11"/>
        <v>0</v>
      </c>
      <c r="H13" s="107" t="str">
        <f t="shared" si="5"/>
        <v>#DIV/0!</v>
      </c>
      <c r="I13" s="95">
        <f>SUM(I10:I12)</f>
        <v>0</v>
      </c>
      <c r="J13" s="107" t="str">
        <f t="shared" si="6"/>
        <v>#DIV/0!</v>
      </c>
      <c r="K13" s="95">
        <f t="shared" ref="K13:L13" si="12">SUM(K10:K12)</f>
        <v>0</v>
      </c>
      <c r="L13" s="95">
        <f t="shared" si="12"/>
        <v>0</v>
      </c>
      <c r="M13" s="107" t="str">
        <f t="shared" si="7"/>
        <v>#DIV/0!</v>
      </c>
      <c r="N13" s="95">
        <f>SUM(N10:N12)</f>
        <v>0</v>
      </c>
      <c r="O13" s="107" t="str">
        <f t="shared" si="8"/>
        <v>#DIV/0!</v>
      </c>
      <c r="P13" s="95">
        <f t="shared" ref="P13:Q13" si="13">SUM(P10:P12)</f>
        <v>0</v>
      </c>
      <c r="Q13" s="95">
        <f t="shared" si="13"/>
        <v>0</v>
      </c>
      <c r="R13" s="107" t="str">
        <f t="shared" si="9"/>
        <v>#DIV/0!</v>
      </c>
      <c r="S13" s="95">
        <f>SUM(S10:S12)</f>
        <v>0</v>
      </c>
      <c r="T13" s="107" t="str">
        <f t="shared" si="10"/>
        <v>#DIV/0!</v>
      </c>
      <c r="U13" s="95">
        <f>SUM(U10:U12)</f>
        <v>0</v>
      </c>
      <c r="V13" s="92"/>
      <c r="W13" s="92"/>
      <c r="X13" s="92"/>
      <c r="Y13" s="92"/>
      <c r="Z13" s="92"/>
    </row>
    <row r="14" ht="10.5" customHeight="1">
      <c r="A14" s="97"/>
      <c r="B14" s="108"/>
      <c r="C14" s="109"/>
      <c r="D14" s="108"/>
      <c r="E14" s="109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10.5" customHeight="1">
      <c r="A15" s="110"/>
      <c r="B15" s="111">
        <v>2024.0</v>
      </c>
      <c r="C15" s="111">
        <v>2025.0</v>
      </c>
      <c r="D15" s="112" t="s">
        <v>9</v>
      </c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10.5" customHeight="1">
      <c r="A16" s="113" t="s">
        <v>50</v>
      </c>
      <c r="B16" s="114">
        <f>B5</f>
        <v>0</v>
      </c>
      <c r="C16" s="114">
        <f>D5</f>
        <v>0</v>
      </c>
      <c r="D16" s="115">
        <f>F5</f>
        <v>0</v>
      </c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10.5" customHeight="1">
      <c r="A17" s="116" t="s">
        <v>53</v>
      </c>
      <c r="B17" s="117">
        <f>B13+G13+L13+Q13</f>
        <v>0</v>
      </c>
      <c r="C17" s="117">
        <f>D13+I13+N13+S13</f>
        <v>0</v>
      </c>
      <c r="D17" s="118">
        <f>F13+K13+P13+U13</f>
        <v>0</v>
      </c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10.5" customHeight="1">
      <c r="A18" s="24"/>
      <c r="B18" s="119">
        <f t="shared" ref="B18:D18" si="14">B16-B17</f>
        <v>0</v>
      </c>
      <c r="C18" s="119">
        <f t="shared" si="14"/>
        <v>0</v>
      </c>
      <c r="D18" s="119">
        <f t="shared" si="14"/>
        <v>0</v>
      </c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10.5" customHeight="1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10.5" customHeight="1">
      <c r="A20" s="110"/>
      <c r="B20" s="111">
        <v>2024.0</v>
      </c>
      <c r="C20" s="111">
        <v>2025.0</v>
      </c>
      <c r="D20" s="112" t="s">
        <v>9</v>
      </c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10.5" customHeight="1">
      <c r="A21" s="113" t="s">
        <v>50</v>
      </c>
      <c r="B21" s="114">
        <f>B10</f>
        <v>0</v>
      </c>
      <c r="C21" s="114">
        <f>D10</f>
        <v>0</v>
      </c>
      <c r="D21" s="115">
        <f>F10</f>
        <v>0</v>
      </c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10.5" customHeight="1">
      <c r="A22" s="116" t="s">
        <v>57</v>
      </c>
      <c r="B22" s="117">
        <f>G13</f>
        <v>0</v>
      </c>
      <c r="C22" s="117">
        <f>I13</f>
        <v>0</v>
      </c>
      <c r="D22" s="118">
        <f>K13</f>
        <v>0</v>
      </c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10.5" customHeight="1">
      <c r="A23" s="24" t="s">
        <v>58</v>
      </c>
      <c r="B23" s="119">
        <f t="shared" ref="B23:D23" si="15">B21-B22</f>
        <v>0</v>
      </c>
      <c r="C23" s="119">
        <f t="shared" si="15"/>
        <v>0</v>
      </c>
      <c r="D23" s="119">
        <f t="shared" si="15"/>
        <v>0</v>
      </c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10.5" customHeight="1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0.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10.5" customHeight="1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10.5" customHeight="1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10.5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10.5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10.5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10.5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0.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10.5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10.5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10.5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10.5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10.5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10.5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10.5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10.5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10.5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10.5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10.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10.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10.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10.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10.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10.5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10.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10.5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10.5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10.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10.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10.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10.5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10.5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10.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10.5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10.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10.5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10.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10.5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10.5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10.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10.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10.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10.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10.5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10.5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10.5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10.5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10.5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10.5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10.5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10.5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10.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10.5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10.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10.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10.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10.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10.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10.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10.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10.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10.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10.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10.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10.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10.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10.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10.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10.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10.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10.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10.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10.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10.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10.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10.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10.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10.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10.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10.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10.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10.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10.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10.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10.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10.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10.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10.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10.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10.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10.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10.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10.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10.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10.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10.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10.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10.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10.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10.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10.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10.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10.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10.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10.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10.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10.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10.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10.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10.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10.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10.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10.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10.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10.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10.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10.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10.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10.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10.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10.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10.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10.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10.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10.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10.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10.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10.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10.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10.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10.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10.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10.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10.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10.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10.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10.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10.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10.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10.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10.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10.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10.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10.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10.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10.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10.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10.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10.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10.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10.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10.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10.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10.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10.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10.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10.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10.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10.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10.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10.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10.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10.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10.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10.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10.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10.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10.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10.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10.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10.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10.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10.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10.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10.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10.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10.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10.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10.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10.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10.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10.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10.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10.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10.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10.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10.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10.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10.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10.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10.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10.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10.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10.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10.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10.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10.5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10.5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10.5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10.5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0.5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 ht="10.5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 ht="10.5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 ht="10.5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 ht="10.5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 ht="10.5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 ht="10.5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 ht="10.5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 ht="10.5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 ht="10.5" customHeight="1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 ht="10.5" customHeight="1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 ht="10.5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 ht="10.5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 ht="10.5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 ht="10.5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 ht="10.5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 ht="10.5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 ht="10.5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 ht="10.5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 ht="10.5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 ht="10.5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 ht="10.5" customHeight="1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 ht="10.5" customHeight="1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 ht="10.5" customHeight="1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 ht="10.5" customHeight="1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 ht="10.5" customHeight="1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 ht="10.5" customHeight="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 ht="10.5" customHeight="1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 ht="10.5" customHeight="1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 ht="10.5" customHeight="1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 ht="10.5" customHeight="1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 ht="10.5" customHeight="1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 ht="10.5" customHeight="1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 ht="10.5" customHeight="1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 ht="10.5" customHeight="1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 ht="10.5" customHeight="1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 ht="10.5" customHeight="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 ht="10.5" customHeight="1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 ht="10.5" customHeight="1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 ht="10.5" customHeight="1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 ht="10.5" customHeight="1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 ht="10.5" customHeight="1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 ht="10.5" customHeight="1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 ht="10.5" customHeight="1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 ht="10.5" customHeight="1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 ht="10.5" customHeight="1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 ht="10.5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 ht="10.5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 ht="10.5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 ht="10.5" customHeight="1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 ht="10.5" customHeight="1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 ht="10.5" customHeight="1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 ht="10.5" customHeight="1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 ht="10.5" customHeight="1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 ht="10.5" customHeight="1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 ht="10.5" customHeight="1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 ht="10.5" customHeight="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 ht="10.5" customHeight="1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 ht="10.5" customHeight="1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 ht="10.5" customHeight="1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 ht="10.5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 ht="10.5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 ht="10.5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 ht="10.5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 ht="10.5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 ht="10.5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 ht="10.5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 ht="10.5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 ht="10.5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 ht="10.5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 ht="10.5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 ht="10.5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 ht="10.5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 ht="10.5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 ht="10.5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 ht="10.5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 ht="10.5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 ht="10.5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 ht="10.5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 ht="10.5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 ht="10.5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 ht="10.5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 ht="10.5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 ht="10.5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 ht="10.5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 ht="10.5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 ht="10.5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 ht="10.5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 ht="10.5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 ht="10.5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 ht="10.5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 ht="10.5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 ht="10.5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 ht="10.5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 ht="10.5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 ht="10.5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 ht="10.5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 ht="10.5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 ht="10.5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 ht="10.5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 ht="10.5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 ht="10.5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 ht="10.5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 ht="10.5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 ht="10.5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 ht="10.5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 ht="10.5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 ht="10.5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 ht="10.5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 ht="10.5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 ht="10.5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 ht="10.5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 ht="10.5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 ht="10.5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 ht="10.5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 ht="10.5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 ht="10.5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 ht="10.5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 ht="10.5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 ht="10.5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 ht="10.5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 ht="10.5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 ht="10.5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 ht="10.5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 ht="10.5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 ht="10.5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 ht="10.5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 ht="10.5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 ht="10.5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 ht="10.5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 ht="10.5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 ht="10.5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 ht="10.5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 ht="10.5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 ht="10.5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 ht="10.5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 ht="10.5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 ht="10.5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 ht="10.5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 ht="10.5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 ht="10.5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 ht="10.5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 ht="10.5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 ht="10.5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 ht="10.5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 ht="10.5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 ht="10.5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 ht="10.5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 ht="10.5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 ht="10.5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 ht="10.5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 ht="10.5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 ht="10.5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 ht="10.5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 ht="10.5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 ht="10.5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 ht="10.5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 ht="10.5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 ht="10.5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 ht="10.5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 ht="10.5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 ht="10.5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 ht="10.5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 ht="10.5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 ht="10.5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 ht="10.5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 ht="10.5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 ht="10.5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 ht="10.5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ht="10.5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 ht="10.5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 ht="10.5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 ht="10.5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 ht="10.5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 ht="10.5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 ht="10.5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 ht="10.5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 ht="10.5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 ht="10.5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 ht="10.5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 ht="10.5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 ht="10.5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ht="10.5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 ht="10.5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 ht="10.5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 ht="10.5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ht="10.5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 ht="10.5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 ht="10.5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 ht="10.5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 ht="10.5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 ht="10.5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 ht="10.5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 ht="10.5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 ht="10.5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 ht="10.5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 ht="10.5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 ht="10.5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 ht="10.5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 ht="10.5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 ht="10.5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 ht="10.5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 ht="10.5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 ht="10.5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 ht="10.5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 ht="10.5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 ht="10.5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 ht="10.5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 ht="10.5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 ht="10.5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 ht="10.5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 ht="10.5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 ht="10.5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 ht="10.5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 ht="10.5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 ht="10.5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 ht="10.5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 ht="10.5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 ht="10.5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 ht="10.5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 ht="10.5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 ht="10.5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 ht="10.5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ht="10.5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 ht="10.5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 ht="10.5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 ht="10.5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 ht="10.5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 ht="10.5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 ht="10.5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 ht="10.5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 ht="10.5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 ht="10.5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 ht="10.5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 ht="10.5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 ht="10.5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 ht="10.5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 ht="10.5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 ht="10.5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 ht="10.5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ht="10.5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 ht="10.5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ht="10.5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 ht="10.5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 ht="10.5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 ht="10.5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 ht="10.5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 ht="10.5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 ht="10.5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 ht="10.5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 ht="10.5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 ht="10.5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 ht="10.5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 ht="10.5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 ht="10.5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 ht="10.5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 ht="10.5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 ht="10.5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 ht="10.5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 ht="10.5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 ht="10.5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 ht="10.5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 ht="10.5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 ht="10.5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 ht="10.5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 ht="10.5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ht="10.5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 ht="10.5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 ht="10.5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 ht="10.5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 ht="10.5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 ht="10.5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 ht="10.5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 ht="10.5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ht="10.5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 ht="10.5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 ht="10.5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 ht="10.5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 ht="10.5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 ht="10.5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 ht="10.5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 ht="10.5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 ht="10.5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 ht="10.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 ht="10.5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 ht="10.5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 ht="10.5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 ht="10.5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 ht="10.5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 ht="10.5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 ht="10.5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 ht="10.5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 ht="10.5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 ht="10.5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 ht="10.5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 ht="10.5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ht="10.5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 ht="10.5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 ht="10.5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 ht="10.5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 ht="10.5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 ht="10.5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 ht="10.5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 ht="10.5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 ht="10.5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 ht="10.5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 ht="10.5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 ht="10.5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 ht="10.5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 ht="10.5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 ht="10.5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 ht="10.5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 ht="10.5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 ht="10.5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 ht="10.5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 ht="10.5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 ht="10.5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 ht="10.5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 ht="10.5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 ht="10.5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ht="10.5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 ht="10.5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 ht="10.5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 ht="10.5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 ht="10.5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 ht="10.5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 ht="10.5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ht="10.5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 ht="10.5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 ht="10.5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 ht="10.5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 ht="10.5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 ht="10.5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 ht="10.5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 ht="10.5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 ht="10.5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 ht="10.5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 ht="10.5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 ht="10.5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 ht="10.5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 ht="10.5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 ht="10.5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 ht="10.5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 ht="10.5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 ht="10.5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 ht="10.5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 ht="10.5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 ht="10.5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 ht="10.5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 ht="10.5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 ht="10.5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 ht="10.5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 ht="10.5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 ht="10.5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 ht="10.5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 ht="10.5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 ht="10.5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 ht="10.5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 ht="10.5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 ht="10.5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 ht="10.5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 ht="10.5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 ht="10.5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 ht="10.5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 ht="10.5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 ht="10.5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 ht="10.5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 ht="10.5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 ht="10.5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 ht="10.5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 ht="10.5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 ht="10.5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 ht="10.5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 ht="10.5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 ht="10.5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 ht="10.5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 ht="10.5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 ht="10.5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 ht="10.5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 ht="10.5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 ht="10.5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 ht="10.5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 ht="10.5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 ht="10.5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 ht="10.5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 ht="10.5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ht="10.5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ht="10.5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 ht="10.5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 ht="10.5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 ht="10.5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ht="10.5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 ht="10.5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 ht="10.5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 ht="10.5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 ht="10.5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 ht="10.5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 ht="10.5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 ht="10.5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 ht="10.5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 ht="10.5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 ht="10.5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 ht="10.5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 ht="10.5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 ht="10.5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 ht="10.5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 ht="10.5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 ht="10.5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 ht="10.5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 ht="10.5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 ht="10.5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 ht="10.5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 ht="10.5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 ht="10.5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 ht="10.5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 ht="10.5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 ht="10.5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 ht="10.5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 ht="10.5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 ht="10.5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 ht="10.5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 ht="10.5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 ht="10.5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 ht="10.5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 ht="10.5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 ht="10.5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 ht="10.5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 ht="10.5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 ht="10.5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 ht="10.5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 ht="10.5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 ht="10.5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 ht="10.5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 ht="10.5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 ht="10.5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 ht="10.5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 ht="10.5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 ht="10.5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 ht="10.5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 ht="10.5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 ht="10.5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 ht="10.5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 ht="10.5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 ht="10.5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 ht="10.5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 ht="10.5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 ht="10.5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 ht="10.5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 ht="10.5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 ht="10.5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 ht="10.5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 ht="10.5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 ht="10.5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 ht="10.5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 ht="10.5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 ht="10.5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 ht="10.5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 ht="10.5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 ht="10.5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 ht="10.5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 ht="10.5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 ht="10.5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 ht="10.5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 ht="10.5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 ht="10.5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 ht="10.5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 ht="10.5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 ht="10.5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 ht="10.5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 ht="10.5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 ht="10.5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ht="10.5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 ht="10.5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 ht="10.5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 ht="10.5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 ht="10.5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 ht="10.5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 ht="10.5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ht="10.5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 ht="10.5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 ht="10.5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 ht="10.5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 ht="10.5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 ht="10.5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 ht="10.5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 ht="10.5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 ht="10.5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 ht="10.5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 ht="10.5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 ht="10.5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 ht="10.5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 ht="10.5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 ht="10.5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 ht="10.5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 ht="10.5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 ht="10.5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 ht="10.5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 ht="10.5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 ht="10.5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ht="10.5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ht="10.5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 ht="10.5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 ht="10.5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 ht="10.5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 ht="10.5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 ht="10.5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 ht="10.5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 ht="10.5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 ht="10.5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 ht="10.5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 ht="10.5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 ht="10.5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 ht="10.5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 ht="10.5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 ht="10.5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 ht="10.5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 ht="10.5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 ht="10.5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 ht="10.5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 ht="10.5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 ht="10.5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 ht="10.5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 ht="10.5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 ht="10.5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 ht="10.5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 ht="10.5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 ht="10.5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 ht="10.5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 ht="10.5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 ht="10.5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 ht="10.5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 ht="10.5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 ht="10.5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 ht="10.5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 ht="10.5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 ht="10.5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 ht="10.5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 ht="10.5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ht="10.5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 ht="10.5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 ht="10.5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 ht="10.5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 ht="10.5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 ht="10.5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 ht="10.5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 ht="10.5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 ht="10.5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 ht="10.5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 ht="10.5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 ht="10.5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 ht="10.5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 ht="10.5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 ht="10.5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 ht="10.5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 ht="10.5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 ht="10.5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 ht="10.5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 ht="10.5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 ht="10.5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 ht="10.5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 ht="10.5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 ht="10.5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 ht="10.5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 ht="10.5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 ht="10.5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 ht="10.5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 ht="10.5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 ht="10.5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 ht="10.5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 ht="10.5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 ht="10.5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 ht="10.5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 ht="10.5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 ht="10.5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 ht="10.5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 ht="10.5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 ht="10.5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 ht="10.5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 ht="10.5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 ht="10.5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 ht="10.5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 ht="10.5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 ht="10.5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 ht="10.5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 ht="10.5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 ht="10.5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 ht="10.5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 ht="10.5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 ht="10.5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 ht="10.5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 ht="10.5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 ht="10.5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 ht="10.5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 ht="10.5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 ht="10.5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 ht="10.5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 ht="10.5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 ht="10.5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 ht="10.5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 ht="10.5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 ht="10.5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 ht="10.5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 ht="10.5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 ht="10.5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 ht="10.5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 ht="10.5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 ht="10.5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 ht="10.5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 ht="10.5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 ht="10.5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 ht="10.5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 ht="10.5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 ht="10.5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 ht="10.5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 ht="10.5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 ht="10.5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 ht="10.5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 ht="10.5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 ht="10.5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 ht="10.5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 ht="10.5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 ht="10.5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 ht="10.5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 ht="10.5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 ht="10.5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 ht="10.5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 ht="10.5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 ht="10.5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 ht="10.5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 ht="10.5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 ht="10.5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 ht="10.5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 ht="10.5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 ht="10.5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 ht="10.5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 ht="10.5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 ht="10.5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 ht="10.5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 ht="10.5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 ht="10.5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 ht="10.5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 ht="10.5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 ht="10.5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 ht="10.5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 ht="10.5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 ht="10.5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 ht="10.5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 ht="10.5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 ht="10.5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 ht="10.5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 ht="10.5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 ht="10.5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 ht="10.5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 ht="10.5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 ht="10.5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ht="10.5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 ht="10.5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 ht="10.5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 ht="10.5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 ht="10.5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 ht="10.5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 ht="10.5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 ht="10.5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 ht="10.5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 ht="10.5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 ht="10.5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 ht="10.5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 ht="10.5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 ht="10.5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 ht="10.5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 ht="10.5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 ht="10.5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 ht="10.5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 ht="10.5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 ht="10.5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 ht="10.5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 ht="10.5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 ht="10.5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 ht="10.5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 ht="10.5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 ht="10.5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 ht="10.5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 ht="10.5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 ht="10.5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 ht="10.5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 ht="10.5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 ht="10.5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 ht="10.5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 ht="10.5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 ht="10.5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 ht="10.5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 ht="10.5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 ht="10.5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ht="10.5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 ht="10.5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 ht="10.5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 ht="10.5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 ht="10.5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 ht="10.5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 ht="10.5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 ht="10.5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 ht="10.5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 ht="10.5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 ht="10.5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 ht="10.5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 ht="10.5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 ht="10.5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 ht="10.5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 ht="10.5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 ht="10.5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 ht="10.5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 ht="10.5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 ht="10.5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ht="10.5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 ht="10.5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 ht="10.5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 ht="10.5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 ht="10.5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ht="10.5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 ht="10.5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 ht="10.5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 ht="10.5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 ht="10.5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 ht="10.5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 ht="10.5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 ht="10.5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 ht="10.5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 ht="10.5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 ht="10.5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 ht="10.5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 ht="10.5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 ht="10.5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 ht="10.5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 ht="10.5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 ht="10.5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 ht="10.5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 ht="10.5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 ht="10.5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 ht="10.5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 ht="10.5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 ht="10.5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 ht="10.5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 ht="10.5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 ht="10.5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 ht="10.5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 ht="10.5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 ht="10.5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ht="10.5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 ht="10.5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 ht="10.5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 ht="10.5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 ht="10.5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 ht="10.5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 ht="10.5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 ht="10.5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 ht="10.5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 ht="10.5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 ht="10.5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 ht="10.5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 ht="10.5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 ht="10.5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 ht="10.5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 ht="10.5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 ht="10.5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 ht="10.5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 ht="10.5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 ht="10.5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 ht="10.5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 ht="10.5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 ht="10.5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 ht="10.5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 ht="10.5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 ht="10.5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 ht="10.5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 ht="10.5" customHeight="1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 ht="10.5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</row>
  </sheetData>
  <mergeCells count="5">
    <mergeCell ref="G1:H1"/>
    <mergeCell ref="B8:F8"/>
    <mergeCell ref="G8:K8"/>
    <mergeCell ref="L8:P8"/>
    <mergeCell ref="Q8:U8"/>
  </mergeCells>
  <conditionalFormatting sqref="B18:D18">
    <cfRule type="cellIs" dxfId="1" priority="1" operator="lessThan">
      <formula>0</formula>
    </cfRule>
  </conditionalFormatting>
  <conditionalFormatting sqref="B18:D18">
    <cfRule type="cellIs" dxfId="2" priority="2" operator="greaterThan">
      <formula>0</formula>
    </cfRule>
  </conditionalFormatting>
  <conditionalFormatting sqref="B23:D23">
    <cfRule type="cellIs" dxfId="1" priority="3" operator="lessThan">
      <formula>0</formula>
    </cfRule>
  </conditionalFormatting>
  <conditionalFormatting sqref="B23:D23">
    <cfRule type="cellIs" dxfId="2" priority="4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86"/>
    <col customWidth="1" min="2" max="2" width="7.86"/>
    <col customWidth="1" min="3" max="3" width="7.43"/>
    <col customWidth="1" min="4" max="4" width="7.14"/>
    <col customWidth="1" min="5" max="5" width="6.57"/>
    <col customWidth="1" min="6" max="7" width="7.86"/>
    <col customWidth="1" min="8" max="8" width="7.43"/>
    <col customWidth="1" min="9" max="9" width="7.86"/>
    <col customWidth="1" min="10" max="10" width="6.57"/>
    <col customWidth="1" min="11" max="12" width="7.86"/>
    <col customWidth="1" min="13" max="13" width="7.43"/>
    <col customWidth="1" min="14" max="14" width="7.86"/>
    <col customWidth="1" min="15" max="15" width="6.57"/>
    <col customWidth="1" min="16" max="16" width="7.86"/>
    <col customWidth="1" min="17" max="17" width="4.86"/>
    <col customWidth="1" min="18" max="26" width="8.57"/>
  </cols>
  <sheetData>
    <row r="1" ht="10.5" customHeight="1">
      <c r="A1" s="6"/>
      <c r="B1" s="49" t="s">
        <v>0</v>
      </c>
      <c r="C1" s="3"/>
      <c r="D1" s="3"/>
      <c r="E1" s="3"/>
      <c r="F1" s="4"/>
      <c r="G1" s="120" t="s">
        <v>2</v>
      </c>
      <c r="H1" s="3"/>
      <c r="I1" s="3"/>
      <c r="J1" s="3"/>
      <c r="K1" s="4"/>
      <c r="L1" s="121" t="s">
        <v>59</v>
      </c>
      <c r="M1" s="3"/>
      <c r="N1" s="3"/>
      <c r="O1" s="3"/>
      <c r="P1" s="4"/>
      <c r="Q1" s="6" t="s">
        <v>22</v>
      </c>
      <c r="R1" s="6"/>
      <c r="S1" s="6"/>
      <c r="T1" s="6"/>
      <c r="U1" s="6"/>
      <c r="V1" s="6"/>
      <c r="W1" s="6"/>
      <c r="X1" s="6"/>
      <c r="Y1" s="6"/>
      <c r="Z1" s="6"/>
    </row>
    <row r="2" ht="10.5" customHeight="1">
      <c r="A2" s="52" t="s">
        <v>43</v>
      </c>
      <c r="B2" s="54">
        <v>2024.0</v>
      </c>
      <c r="C2" s="54" t="s">
        <v>44</v>
      </c>
      <c r="D2" s="54">
        <v>2025.0</v>
      </c>
      <c r="E2" s="54" t="s">
        <v>45</v>
      </c>
      <c r="F2" s="54" t="s">
        <v>9</v>
      </c>
      <c r="G2" s="122">
        <v>2024.0</v>
      </c>
      <c r="H2" s="122" t="s">
        <v>44</v>
      </c>
      <c r="I2" s="122">
        <v>2025.0</v>
      </c>
      <c r="J2" s="122" t="s">
        <v>45</v>
      </c>
      <c r="K2" s="122" t="s">
        <v>9</v>
      </c>
      <c r="L2" s="123">
        <v>2024.0</v>
      </c>
      <c r="M2" s="123" t="s">
        <v>44</v>
      </c>
      <c r="N2" s="123">
        <v>2025.0</v>
      </c>
      <c r="O2" s="123" t="s">
        <v>45</v>
      </c>
      <c r="P2" s="123" t="s">
        <v>9</v>
      </c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10.5" customHeight="1">
      <c r="A3" s="1" t="s">
        <v>10</v>
      </c>
      <c r="B3" s="59"/>
      <c r="C3" s="60" t="str">
        <f t="shared" ref="C3:C25" si="1">(D3-B3)/D3</f>
        <v>#DIV/0!</v>
      </c>
      <c r="D3" s="59">
        <f>'Ricavi Hotel per asset'!R3</f>
        <v>0</v>
      </c>
      <c r="E3" s="60" t="str">
        <f t="shared" ref="E3:E4" si="2">(D3-F3)/F3</f>
        <v>#DIV/0!</v>
      </c>
      <c r="F3" s="59">
        <f>'Ricavi Hotel per asset'!S3</f>
        <v>0</v>
      </c>
      <c r="G3" s="124">
        <v>0.0</v>
      </c>
      <c r="H3" s="125" t="str">
        <f t="shared" ref="H3:H25" si="3">(I3-G3)/I3</f>
        <v>#DIV/0!</v>
      </c>
      <c r="I3" s="124">
        <v>0.0</v>
      </c>
      <c r="J3" s="125" t="str">
        <f t="shared" ref="J3:J25" si="4">(I3-K3)/K3</f>
        <v>#DIV/0!</v>
      </c>
      <c r="K3" s="124">
        <v>0.0</v>
      </c>
      <c r="L3" s="126">
        <v>0.0</v>
      </c>
      <c r="M3" s="127" t="str">
        <f t="shared" ref="M3:M25" si="5">(N3-L3)/N3</f>
        <v>#DIV/0!</v>
      </c>
      <c r="N3" s="126">
        <v>0.0</v>
      </c>
      <c r="O3" s="127" t="str">
        <f t="shared" ref="O3:O25" si="6">(N3-P3)/P3</f>
        <v>#DIV/0!</v>
      </c>
      <c r="P3" s="126">
        <v>0.0</v>
      </c>
      <c r="Q3" s="52"/>
      <c r="R3" s="1"/>
      <c r="S3" s="1"/>
      <c r="T3" s="1"/>
      <c r="U3" s="1"/>
      <c r="V3" s="1"/>
      <c r="W3" s="1"/>
      <c r="X3" s="1"/>
      <c r="Y3" s="1"/>
      <c r="Z3" s="1"/>
    </row>
    <row r="4" ht="10.5" customHeight="1">
      <c r="A4" s="1" t="s">
        <v>11</v>
      </c>
      <c r="B4" s="59"/>
      <c r="C4" s="60" t="str">
        <f t="shared" si="1"/>
        <v>#DIV/0!</v>
      </c>
      <c r="D4" s="59">
        <f>'Ricavi Hotel per asset'!R4</f>
        <v>0</v>
      </c>
      <c r="E4" s="60" t="str">
        <f t="shared" si="2"/>
        <v>#DIV/0!</v>
      </c>
      <c r="F4" s="59">
        <f>'Ricavi Hotel per asset'!S4</f>
        <v>0</v>
      </c>
      <c r="G4" s="124">
        <v>0.0</v>
      </c>
      <c r="H4" s="125" t="str">
        <f t="shared" si="3"/>
        <v>#DIV/0!</v>
      </c>
      <c r="I4" s="124">
        <v>0.0</v>
      </c>
      <c r="J4" s="125" t="str">
        <f t="shared" si="4"/>
        <v>#DIV/0!</v>
      </c>
      <c r="K4" s="124">
        <v>0.0</v>
      </c>
      <c r="L4" s="126">
        <v>0.0</v>
      </c>
      <c r="M4" s="127" t="str">
        <f t="shared" si="5"/>
        <v>#DIV/0!</v>
      </c>
      <c r="N4" s="126">
        <v>0.0</v>
      </c>
      <c r="O4" s="127" t="str">
        <f t="shared" si="6"/>
        <v>#DIV/0!</v>
      </c>
      <c r="P4" s="126">
        <v>0.0</v>
      </c>
      <c r="Q4" s="52"/>
      <c r="R4" s="1"/>
      <c r="S4" s="1"/>
      <c r="T4" s="1"/>
      <c r="U4" s="1"/>
      <c r="V4" s="1"/>
      <c r="W4" s="1"/>
      <c r="X4" s="1"/>
      <c r="Y4" s="1"/>
      <c r="Z4" s="1"/>
    </row>
    <row r="5" ht="10.5" customHeight="1">
      <c r="A5" s="64" t="s">
        <v>49</v>
      </c>
      <c r="B5" s="67">
        <f>'Ricavi Hotel per asset'!Q5</f>
        <v>0</v>
      </c>
      <c r="C5" s="68" t="str">
        <f t="shared" si="1"/>
        <v>#DIV/0!</v>
      </c>
      <c r="D5" s="67">
        <f>'Ricavi Hotel per asset'!R5</f>
        <v>0</v>
      </c>
      <c r="E5" s="68" t="str">
        <f>(F5-D5)/F5</f>
        <v>#DIV/0!</v>
      </c>
      <c r="F5" s="67">
        <f>'Ricavi Hotel per asset'!S5</f>
        <v>0</v>
      </c>
      <c r="G5" s="128">
        <f>SUM(G3:G4)</f>
        <v>0</v>
      </c>
      <c r="H5" s="129" t="str">
        <f t="shared" si="3"/>
        <v>#DIV/0!</v>
      </c>
      <c r="I5" s="128">
        <f>SUM(I3:I4)</f>
        <v>0</v>
      </c>
      <c r="J5" s="129" t="str">
        <f t="shared" si="4"/>
        <v>#DIV/0!</v>
      </c>
      <c r="K5" s="128">
        <f t="shared" ref="K5:L5" si="7">SUM(K3:K4)</f>
        <v>0</v>
      </c>
      <c r="L5" s="130">
        <f t="shared" si="7"/>
        <v>0</v>
      </c>
      <c r="M5" s="131" t="str">
        <f t="shared" si="5"/>
        <v>#DIV/0!</v>
      </c>
      <c r="N5" s="130">
        <f>SUM(N3:N4)</f>
        <v>0</v>
      </c>
      <c r="O5" s="131" t="str">
        <f t="shared" si="6"/>
        <v>#DIV/0!</v>
      </c>
      <c r="P5" s="130">
        <f>SUM(P3:P4)</f>
        <v>0</v>
      </c>
      <c r="Q5" s="52"/>
      <c r="R5" s="72"/>
      <c r="S5" s="72"/>
      <c r="T5" s="72"/>
      <c r="U5" s="72"/>
      <c r="V5" s="72"/>
      <c r="W5" s="72"/>
      <c r="X5" s="72"/>
      <c r="Y5" s="72"/>
      <c r="Z5" s="72"/>
    </row>
    <row r="6" ht="10.5" customHeight="1">
      <c r="A6" s="1" t="s">
        <v>12</v>
      </c>
      <c r="B6" s="59"/>
      <c r="C6" s="60" t="str">
        <f t="shared" si="1"/>
        <v>#DIV/0!</v>
      </c>
      <c r="D6" s="59">
        <f>'Ricavi Hotel per asset'!R6</f>
        <v>0</v>
      </c>
      <c r="E6" s="60" t="str">
        <f>(D6-F6)/F6</f>
        <v>#DIV/0!</v>
      </c>
      <c r="F6" s="59">
        <f>'Ricavi Hotel per asset'!S6</f>
        <v>0</v>
      </c>
      <c r="G6" s="124">
        <v>0.0</v>
      </c>
      <c r="H6" s="125" t="str">
        <f t="shared" si="3"/>
        <v>#DIV/0!</v>
      </c>
      <c r="I6" s="124">
        <v>0.0</v>
      </c>
      <c r="J6" s="125" t="str">
        <f t="shared" si="4"/>
        <v>#DIV/0!</v>
      </c>
      <c r="K6" s="124">
        <v>0.0</v>
      </c>
      <c r="L6" s="126">
        <v>0.0</v>
      </c>
      <c r="M6" s="127" t="str">
        <f t="shared" si="5"/>
        <v>#DIV/0!</v>
      </c>
      <c r="N6" s="126">
        <v>0.0</v>
      </c>
      <c r="O6" s="127" t="str">
        <f t="shared" si="6"/>
        <v>#DIV/0!</v>
      </c>
      <c r="P6" s="126">
        <v>0.0</v>
      </c>
      <c r="Q6" s="52"/>
      <c r="R6" s="1"/>
      <c r="S6" s="1"/>
      <c r="T6" s="1"/>
      <c r="U6" s="1"/>
      <c r="V6" s="1"/>
      <c r="W6" s="1"/>
      <c r="X6" s="1"/>
      <c r="Y6" s="1"/>
      <c r="Z6" s="1"/>
    </row>
    <row r="7" ht="10.5" customHeight="1">
      <c r="A7" s="64" t="s">
        <v>49</v>
      </c>
      <c r="B7" s="67">
        <f>'Ricavi Hotel per asset'!Q7</f>
        <v>0</v>
      </c>
      <c r="C7" s="68" t="str">
        <f t="shared" si="1"/>
        <v>#DIV/0!</v>
      </c>
      <c r="D7" s="67">
        <f>'Ricavi Hotel per asset'!R7</f>
        <v>0</v>
      </c>
      <c r="E7" s="68" t="str">
        <f>(F7-D7)/F7</f>
        <v>#DIV/0!</v>
      </c>
      <c r="F7" s="67">
        <f>'Ricavi Hotel per asset'!S7</f>
        <v>0</v>
      </c>
      <c r="G7" s="128">
        <f>SUM(G5:G6)</f>
        <v>0</v>
      </c>
      <c r="H7" s="129" t="str">
        <f t="shared" si="3"/>
        <v>#DIV/0!</v>
      </c>
      <c r="I7" s="128">
        <f>SUM(I5:I6)</f>
        <v>0</v>
      </c>
      <c r="J7" s="129" t="str">
        <f t="shared" si="4"/>
        <v>#DIV/0!</v>
      </c>
      <c r="K7" s="128">
        <f t="shared" ref="K7:L7" si="8">SUM(K5:K6)</f>
        <v>0</v>
      </c>
      <c r="L7" s="130">
        <f t="shared" si="8"/>
        <v>0</v>
      </c>
      <c r="M7" s="131" t="str">
        <f t="shared" si="5"/>
        <v>#DIV/0!</v>
      </c>
      <c r="N7" s="130">
        <f>SUM(N5:N6)</f>
        <v>0</v>
      </c>
      <c r="O7" s="131" t="str">
        <f t="shared" si="6"/>
        <v>#DIV/0!</v>
      </c>
      <c r="P7" s="130">
        <f>SUM(P5:P6)</f>
        <v>0</v>
      </c>
      <c r="Q7" s="52"/>
      <c r="R7" s="72"/>
      <c r="S7" s="72"/>
      <c r="T7" s="72"/>
      <c r="U7" s="72"/>
      <c r="V7" s="72"/>
      <c r="W7" s="72"/>
      <c r="X7" s="72"/>
      <c r="Y7" s="72"/>
      <c r="Z7" s="72"/>
    </row>
    <row r="8" ht="10.5" customHeight="1">
      <c r="A8" s="1" t="s">
        <v>13</v>
      </c>
      <c r="B8" s="59"/>
      <c r="C8" s="60" t="str">
        <f t="shared" si="1"/>
        <v>#DIV/0!</v>
      </c>
      <c r="D8" s="59">
        <f>'Ricavi Hotel per asset'!R8</f>
        <v>0</v>
      </c>
      <c r="E8" s="60" t="str">
        <f>(D8-F8)/F8</f>
        <v>#DIV/0!</v>
      </c>
      <c r="F8" s="59">
        <f>'Ricavi Hotel per asset'!S8</f>
        <v>0</v>
      </c>
      <c r="G8" s="124">
        <v>0.0</v>
      </c>
      <c r="H8" s="125" t="str">
        <f t="shared" si="3"/>
        <v>#DIV/0!</v>
      </c>
      <c r="I8" s="124">
        <v>0.0</v>
      </c>
      <c r="J8" s="125" t="str">
        <f t="shared" si="4"/>
        <v>#DIV/0!</v>
      </c>
      <c r="K8" s="124">
        <v>0.0</v>
      </c>
      <c r="L8" s="126">
        <v>0.0</v>
      </c>
      <c r="M8" s="127" t="str">
        <f t="shared" si="5"/>
        <v>#DIV/0!</v>
      </c>
      <c r="N8" s="126">
        <v>0.0</v>
      </c>
      <c r="O8" s="127" t="str">
        <f t="shared" si="6"/>
        <v>#DIV/0!</v>
      </c>
      <c r="P8" s="126">
        <v>0.0</v>
      </c>
      <c r="Q8" s="52"/>
      <c r="R8" s="1"/>
      <c r="S8" s="1"/>
      <c r="T8" s="1"/>
      <c r="U8" s="1"/>
      <c r="V8" s="1"/>
      <c r="W8" s="1"/>
      <c r="X8" s="1"/>
      <c r="Y8" s="1"/>
      <c r="Z8" s="1"/>
    </row>
    <row r="9" ht="10.5" customHeight="1">
      <c r="A9" s="64" t="s">
        <v>49</v>
      </c>
      <c r="B9" s="67">
        <f>'Ricavi Hotel per asset'!Q9</f>
        <v>0</v>
      </c>
      <c r="C9" s="68" t="str">
        <f t="shared" si="1"/>
        <v>#DIV/0!</v>
      </c>
      <c r="D9" s="67">
        <f>'Ricavi Hotel per asset'!R9</f>
        <v>0</v>
      </c>
      <c r="E9" s="68" t="str">
        <f>(F9-D9)/F9</f>
        <v>#DIV/0!</v>
      </c>
      <c r="F9" s="67">
        <f>'Ricavi Hotel per asset'!S9</f>
        <v>0</v>
      </c>
      <c r="G9" s="128">
        <f>SUM(G7:G8)</f>
        <v>0</v>
      </c>
      <c r="H9" s="129" t="str">
        <f t="shared" si="3"/>
        <v>#DIV/0!</v>
      </c>
      <c r="I9" s="128">
        <f>SUM(I7:I8)</f>
        <v>0</v>
      </c>
      <c r="J9" s="129" t="str">
        <f t="shared" si="4"/>
        <v>#DIV/0!</v>
      </c>
      <c r="K9" s="128">
        <f t="shared" ref="K9:L9" si="9">SUM(K7:K8)</f>
        <v>0</v>
      </c>
      <c r="L9" s="130">
        <f t="shared" si="9"/>
        <v>0</v>
      </c>
      <c r="M9" s="131" t="str">
        <f t="shared" si="5"/>
        <v>#DIV/0!</v>
      </c>
      <c r="N9" s="130">
        <f>SUM(N7:N8)</f>
        <v>0</v>
      </c>
      <c r="O9" s="131" t="str">
        <f t="shared" si="6"/>
        <v>#DIV/0!</v>
      </c>
      <c r="P9" s="130">
        <f>SUM(P7:P8)</f>
        <v>0</v>
      </c>
      <c r="Q9" s="52"/>
      <c r="R9" s="72"/>
      <c r="S9" s="72"/>
      <c r="T9" s="72"/>
      <c r="U9" s="72"/>
      <c r="V9" s="72"/>
      <c r="W9" s="72"/>
      <c r="X9" s="72"/>
      <c r="Y9" s="72"/>
      <c r="Z9" s="72"/>
    </row>
    <row r="10" ht="10.5" customHeight="1">
      <c r="A10" s="1" t="s">
        <v>14</v>
      </c>
      <c r="B10" s="59">
        <f>'Ricavi Hotel per asset'!Q10</f>
        <v>0</v>
      </c>
      <c r="C10" s="60" t="str">
        <f t="shared" si="1"/>
        <v>#DIV/0!</v>
      </c>
      <c r="D10" s="59">
        <f>'Ricavi Hotel per asset'!R10</f>
        <v>0</v>
      </c>
      <c r="E10" s="60" t="str">
        <f>(D10-F10)/F10</f>
        <v>#DIV/0!</v>
      </c>
      <c r="F10" s="59">
        <f>'Ricavi Hotel per asset'!S10</f>
        <v>0</v>
      </c>
      <c r="G10" s="124">
        <v>0.0</v>
      </c>
      <c r="H10" s="125" t="str">
        <f t="shared" si="3"/>
        <v>#DIV/0!</v>
      </c>
      <c r="I10" s="124">
        <v>0.0</v>
      </c>
      <c r="J10" s="125" t="str">
        <f t="shared" si="4"/>
        <v>#DIV/0!</v>
      </c>
      <c r="K10" s="124">
        <v>0.0</v>
      </c>
      <c r="L10" s="126">
        <v>0.0</v>
      </c>
      <c r="M10" s="127" t="str">
        <f t="shared" si="5"/>
        <v>#DIV/0!</v>
      </c>
      <c r="N10" s="126">
        <v>0.0</v>
      </c>
      <c r="O10" s="127" t="str">
        <f t="shared" si="6"/>
        <v>#DIV/0!</v>
      </c>
      <c r="P10" s="126">
        <v>0.0</v>
      </c>
      <c r="Q10" s="52"/>
      <c r="R10" s="1"/>
      <c r="S10" s="1"/>
      <c r="T10" s="1"/>
      <c r="U10" s="1"/>
      <c r="V10" s="1"/>
      <c r="W10" s="1"/>
      <c r="X10" s="1"/>
      <c r="Y10" s="1"/>
      <c r="Z10" s="1"/>
    </row>
    <row r="11" ht="10.5" customHeight="1">
      <c r="A11" s="64" t="s">
        <v>49</v>
      </c>
      <c r="B11" s="67">
        <f>'Ricavi Hotel per asset'!Q11</f>
        <v>0</v>
      </c>
      <c r="C11" s="68" t="str">
        <f t="shared" si="1"/>
        <v>#DIV/0!</v>
      </c>
      <c r="D11" s="67">
        <f>'Ricavi Hotel per asset'!R11</f>
        <v>0</v>
      </c>
      <c r="E11" s="68" t="str">
        <f>(F11-D11)/F11</f>
        <v>#DIV/0!</v>
      </c>
      <c r="F11" s="67">
        <f>'Ricavi Hotel per asset'!S11</f>
        <v>0</v>
      </c>
      <c r="G11" s="128">
        <f>SUM(G9:G10)</f>
        <v>0</v>
      </c>
      <c r="H11" s="129" t="str">
        <f t="shared" si="3"/>
        <v>#DIV/0!</v>
      </c>
      <c r="I11" s="128">
        <f>SUM(I9:I10)</f>
        <v>0</v>
      </c>
      <c r="J11" s="129" t="str">
        <f t="shared" si="4"/>
        <v>#DIV/0!</v>
      </c>
      <c r="K11" s="128">
        <f t="shared" ref="K11:L11" si="10">SUM(K9:K10)</f>
        <v>0</v>
      </c>
      <c r="L11" s="130">
        <f t="shared" si="10"/>
        <v>0</v>
      </c>
      <c r="M11" s="131" t="str">
        <f t="shared" si="5"/>
        <v>#DIV/0!</v>
      </c>
      <c r="N11" s="130">
        <f>SUM(N9:N10)</f>
        <v>0</v>
      </c>
      <c r="O11" s="131" t="str">
        <f t="shared" si="6"/>
        <v>#DIV/0!</v>
      </c>
      <c r="P11" s="130">
        <f>SUM(P9:P10)</f>
        <v>0</v>
      </c>
      <c r="Q11" s="52"/>
      <c r="R11" s="72"/>
      <c r="S11" s="72"/>
      <c r="T11" s="72"/>
      <c r="U11" s="72"/>
      <c r="V11" s="72"/>
      <c r="W11" s="72"/>
      <c r="X11" s="72"/>
      <c r="Y11" s="72"/>
      <c r="Z11" s="72"/>
    </row>
    <row r="12" ht="10.5" customHeight="1">
      <c r="A12" s="1" t="s">
        <v>15</v>
      </c>
      <c r="B12" s="59">
        <f>'Ricavi Hotel per asset'!Q12</f>
        <v>0</v>
      </c>
      <c r="C12" s="60" t="str">
        <f t="shared" si="1"/>
        <v>#DIV/0!</v>
      </c>
      <c r="D12" s="59">
        <f>'Ricavi Hotel per asset'!R12</f>
        <v>0</v>
      </c>
      <c r="E12" s="60" t="str">
        <f>(D12-F12)/F12</f>
        <v>#DIV/0!</v>
      </c>
      <c r="F12" s="59">
        <f>'Ricavi Hotel per asset'!S12</f>
        <v>0</v>
      </c>
      <c r="G12" s="124">
        <v>0.0</v>
      </c>
      <c r="H12" s="125" t="str">
        <f t="shared" si="3"/>
        <v>#DIV/0!</v>
      </c>
      <c r="I12" s="124">
        <v>0.0</v>
      </c>
      <c r="J12" s="125" t="str">
        <f t="shared" si="4"/>
        <v>#DIV/0!</v>
      </c>
      <c r="K12" s="124">
        <v>0.0</v>
      </c>
      <c r="L12" s="126">
        <v>0.0</v>
      </c>
      <c r="M12" s="127" t="str">
        <f t="shared" si="5"/>
        <v>#DIV/0!</v>
      </c>
      <c r="N12" s="126">
        <v>0.0</v>
      </c>
      <c r="O12" s="127" t="str">
        <f t="shared" si="6"/>
        <v>#DIV/0!</v>
      </c>
      <c r="P12" s="126">
        <v>0.0</v>
      </c>
      <c r="Q12" s="52"/>
      <c r="R12" s="1"/>
      <c r="S12" s="1"/>
      <c r="T12" s="1"/>
      <c r="U12" s="1"/>
      <c r="V12" s="1"/>
      <c r="W12" s="1"/>
      <c r="X12" s="1"/>
      <c r="Y12" s="1"/>
      <c r="Z12" s="1"/>
    </row>
    <row r="13" ht="10.5" customHeight="1">
      <c r="A13" s="64" t="s">
        <v>49</v>
      </c>
      <c r="B13" s="67">
        <f>'Ricavi Hotel per asset'!Q13</f>
        <v>0</v>
      </c>
      <c r="C13" s="68" t="str">
        <f t="shared" si="1"/>
        <v>#DIV/0!</v>
      </c>
      <c r="D13" s="67">
        <f>'Ricavi Hotel per asset'!R13</f>
        <v>0</v>
      </c>
      <c r="E13" s="68" t="str">
        <f>(F13-D13)/F13</f>
        <v>#DIV/0!</v>
      </c>
      <c r="F13" s="67">
        <f>'Ricavi Hotel per asset'!S13</f>
        <v>0</v>
      </c>
      <c r="G13" s="128">
        <f>SUM(G11:G12)</f>
        <v>0</v>
      </c>
      <c r="H13" s="129" t="str">
        <f t="shared" si="3"/>
        <v>#DIV/0!</v>
      </c>
      <c r="I13" s="128">
        <f>SUM(I11:I12)</f>
        <v>0</v>
      </c>
      <c r="J13" s="129" t="str">
        <f t="shared" si="4"/>
        <v>#DIV/0!</v>
      </c>
      <c r="K13" s="128">
        <f t="shared" ref="K13:L13" si="11">SUM(K11:K12)</f>
        <v>0</v>
      </c>
      <c r="L13" s="130">
        <f t="shared" si="11"/>
        <v>0</v>
      </c>
      <c r="M13" s="131" t="str">
        <f t="shared" si="5"/>
        <v>#DIV/0!</v>
      </c>
      <c r="N13" s="130">
        <f>SUM(N11:N12)</f>
        <v>0</v>
      </c>
      <c r="O13" s="131" t="str">
        <f t="shared" si="6"/>
        <v>#DIV/0!</v>
      </c>
      <c r="P13" s="130">
        <f>SUM(P11:P12)</f>
        <v>0</v>
      </c>
      <c r="Q13" s="52"/>
      <c r="R13" s="72"/>
      <c r="S13" s="72"/>
      <c r="T13" s="72"/>
      <c r="U13" s="72"/>
      <c r="V13" s="72"/>
      <c r="W13" s="72"/>
      <c r="X13" s="72"/>
      <c r="Y13" s="72"/>
      <c r="Z13" s="72"/>
    </row>
    <row r="14" ht="10.5" customHeight="1">
      <c r="A14" s="1" t="s">
        <v>16</v>
      </c>
      <c r="B14" s="59">
        <f>'Ricavi Hotel per asset'!Q14</f>
        <v>0</v>
      </c>
      <c r="C14" s="60" t="str">
        <f t="shared" si="1"/>
        <v>#DIV/0!</v>
      </c>
      <c r="D14" s="59">
        <f>'Ricavi Hotel per asset'!R14</f>
        <v>0</v>
      </c>
      <c r="E14" s="60" t="str">
        <f>(D14-F14)/F14</f>
        <v>#DIV/0!</v>
      </c>
      <c r="F14" s="59">
        <f>'Ricavi Hotel per asset'!S14</f>
        <v>0</v>
      </c>
      <c r="G14" s="124">
        <v>0.0</v>
      </c>
      <c r="H14" s="125" t="str">
        <f t="shared" si="3"/>
        <v>#DIV/0!</v>
      </c>
      <c r="I14" s="124">
        <v>0.0</v>
      </c>
      <c r="J14" s="125" t="str">
        <f t="shared" si="4"/>
        <v>#DIV/0!</v>
      </c>
      <c r="K14" s="124">
        <v>0.0</v>
      </c>
      <c r="L14" s="126">
        <v>0.0</v>
      </c>
      <c r="M14" s="127" t="str">
        <f t="shared" si="5"/>
        <v>#DIV/0!</v>
      </c>
      <c r="N14" s="126">
        <v>0.0</v>
      </c>
      <c r="O14" s="127" t="str">
        <f t="shared" si="6"/>
        <v>#DIV/0!</v>
      </c>
      <c r="P14" s="126">
        <v>0.0</v>
      </c>
      <c r="Q14" s="52"/>
      <c r="R14" s="1"/>
      <c r="S14" s="1"/>
      <c r="T14" s="1"/>
      <c r="U14" s="1"/>
      <c r="V14" s="1"/>
      <c r="W14" s="1"/>
      <c r="X14" s="1"/>
      <c r="Y14" s="1"/>
      <c r="Z14" s="1"/>
    </row>
    <row r="15" ht="10.5" customHeight="1">
      <c r="A15" s="64" t="s">
        <v>49</v>
      </c>
      <c r="B15" s="67">
        <f>'Ricavi Hotel per asset'!Q15</f>
        <v>0</v>
      </c>
      <c r="C15" s="68" t="str">
        <f t="shared" si="1"/>
        <v>#DIV/0!</v>
      </c>
      <c r="D15" s="67">
        <f>'Ricavi Hotel per asset'!R15</f>
        <v>0</v>
      </c>
      <c r="E15" s="68" t="str">
        <f>(F15-D15)/F15</f>
        <v>#DIV/0!</v>
      </c>
      <c r="F15" s="67">
        <f>'Ricavi Hotel per asset'!S15</f>
        <v>0</v>
      </c>
      <c r="G15" s="128">
        <f>SUM(G13:G14)</f>
        <v>0</v>
      </c>
      <c r="H15" s="129" t="str">
        <f t="shared" si="3"/>
        <v>#DIV/0!</v>
      </c>
      <c r="I15" s="128">
        <f>SUM(I13:I14)</f>
        <v>0</v>
      </c>
      <c r="J15" s="129" t="str">
        <f t="shared" si="4"/>
        <v>#DIV/0!</v>
      </c>
      <c r="K15" s="128">
        <f t="shared" ref="K15:L15" si="12">SUM(K13:K14)</f>
        <v>0</v>
      </c>
      <c r="L15" s="130">
        <f t="shared" si="12"/>
        <v>0</v>
      </c>
      <c r="M15" s="131" t="str">
        <f t="shared" si="5"/>
        <v>#DIV/0!</v>
      </c>
      <c r="N15" s="130">
        <f>SUM(N13:N14)</f>
        <v>0</v>
      </c>
      <c r="O15" s="131" t="str">
        <f t="shared" si="6"/>
        <v>#DIV/0!</v>
      </c>
      <c r="P15" s="130">
        <f>SUM(P13:P14)</f>
        <v>0</v>
      </c>
      <c r="Q15" s="52"/>
      <c r="R15" s="72"/>
      <c r="S15" s="72"/>
      <c r="T15" s="72"/>
      <c r="U15" s="72"/>
      <c r="V15" s="72"/>
      <c r="W15" s="72"/>
      <c r="X15" s="72"/>
      <c r="Y15" s="72"/>
      <c r="Z15" s="72"/>
    </row>
    <row r="16" ht="10.5" customHeight="1">
      <c r="A16" s="1" t="s">
        <v>17</v>
      </c>
      <c r="B16" s="59">
        <f>'Ricavi Hotel per asset'!Q16</f>
        <v>0</v>
      </c>
      <c r="C16" s="60" t="str">
        <f t="shared" si="1"/>
        <v>#DIV/0!</v>
      </c>
      <c r="D16" s="59">
        <f>'Ricavi Hotel per asset'!R16</f>
        <v>0</v>
      </c>
      <c r="E16" s="60" t="str">
        <f>(D16-F16)/F16</f>
        <v>#DIV/0!</v>
      </c>
      <c r="F16" s="59">
        <f>'Ricavi Hotel per asset'!S16</f>
        <v>0</v>
      </c>
      <c r="G16" s="124">
        <v>0.0</v>
      </c>
      <c r="H16" s="125" t="str">
        <f t="shared" si="3"/>
        <v>#DIV/0!</v>
      </c>
      <c r="I16" s="124">
        <v>0.0</v>
      </c>
      <c r="J16" s="125" t="str">
        <f t="shared" si="4"/>
        <v>#DIV/0!</v>
      </c>
      <c r="K16" s="124">
        <v>0.0</v>
      </c>
      <c r="L16" s="126">
        <v>0.0</v>
      </c>
      <c r="M16" s="127" t="str">
        <f t="shared" si="5"/>
        <v>#DIV/0!</v>
      </c>
      <c r="N16" s="126">
        <v>0.0</v>
      </c>
      <c r="O16" s="127" t="str">
        <f t="shared" si="6"/>
        <v>#DIV/0!</v>
      </c>
      <c r="P16" s="126">
        <v>0.0</v>
      </c>
      <c r="Q16" s="52"/>
      <c r="R16" s="1"/>
      <c r="S16" s="1"/>
      <c r="T16" s="1"/>
      <c r="U16" s="1"/>
      <c r="V16" s="1"/>
      <c r="W16" s="1"/>
      <c r="X16" s="1"/>
      <c r="Y16" s="1"/>
      <c r="Z16" s="1"/>
    </row>
    <row r="17" ht="10.5" customHeight="1">
      <c r="A17" s="64" t="s">
        <v>49</v>
      </c>
      <c r="B17" s="67">
        <f>'Ricavi Hotel per asset'!Q17</f>
        <v>0</v>
      </c>
      <c r="C17" s="68" t="str">
        <f t="shared" si="1"/>
        <v>#DIV/0!</v>
      </c>
      <c r="D17" s="67">
        <f>'Ricavi Hotel per asset'!R17</f>
        <v>0</v>
      </c>
      <c r="E17" s="68" t="str">
        <f>(F17-D17)/F17</f>
        <v>#DIV/0!</v>
      </c>
      <c r="F17" s="67">
        <f>'Ricavi Hotel per asset'!S17</f>
        <v>0</v>
      </c>
      <c r="G17" s="128">
        <f>SUM(G15:G16)</f>
        <v>0</v>
      </c>
      <c r="H17" s="129" t="str">
        <f t="shared" si="3"/>
        <v>#DIV/0!</v>
      </c>
      <c r="I17" s="128">
        <f>SUM(I15:I16)</f>
        <v>0</v>
      </c>
      <c r="J17" s="129" t="str">
        <f t="shared" si="4"/>
        <v>#DIV/0!</v>
      </c>
      <c r="K17" s="128">
        <f t="shared" ref="K17:L17" si="13">SUM(K15:K16)</f>
        <v>0</v>
      </c>
      <c r="L17" s="130">
        <f t="shared" si="13"/>
        <v>0</v>
      </c>
      <c r="M17" s="131" t="str">
        <f t="shared" si="5"/>
        <v>#DIV/0!</v>
      </c>
      <c r="N17" s="130">
        <f>SUM(N15:N16)</f>
        <v>0</v>
      </c>
      <c r="O17" s="131" t="str">
        <f t="shared" si="6"/>
        <v>#DIV/0!</v>
      </c>
      <c r="P17" s="130">
        <f>SUM(P15:P16)</f>
        <v>0</v>
      </c>
      <c r="Q17" s="52"/>
      <c r="R17" s="72"/>
      <c r="S17" s="72"/>
      <c r="T17" s="72"/>
      <c r="U17" s="72"/>
      <c r="V17" s="72"/>
      <c r="W17" s="72"/>
      <c r="X17" s="72"/>
      <c r="Y17" s="72"/>
      <c r="Z17" s="72"/>
    </row>
    <row r="18" ht="10.5" customHeight="1">
      <c r="A18" s="1" t="s">
        <v>18</v>
      </c>
      <c r="B18" s="59">
        <f>'Ricavi Hotel per asset'!Q18</f>
        <v>0</v>
      </c>
      <c r="C18" s="60" t="str">
        <f t="shared" si="1"/>
        <v>#DIV/0!</v>
      </c>
      <c r="D18" s="59">
        <f>'Ricavi Hotel per asset'!R18</f>
        <v>0</v>
      </c>
      <c r="E18" s="60" t="str">
        <f>(D18-F18)/F18</f>
        <v>#DIV/0!</v>
      </c>
      <c r="F18" s="59">
        <f>'Ricavi Hotel per asset'!S18</f>
        <v>0</v>
      </c>
      <c r="G18" s="124">
        <v>0.0</v>
      </c>
      <c r="H18" s="125" t="str">
        <f t="shared" si="3"/>
        <v>#DIV/0!</v>
      </c>
      <c r="I18" s="124">
        <v>0.0</v>
      </c>
      <c r="J18" s="125" t="str">
        <f t="shared" si="4"/>
        <v>#DIV/0!</v>
      </c>
      <c r="K18" s="124">
        <v>0.0</v>
      </c>
      <c r="L18" s="126">
        <v>0.0</v>
      </c>
      <c r="M18" s="127" t="str">
        <f t="shared" si="5"/>
        <v>#DIV/0!</v>
      </c>
      <c r="N18" s="126">
        <v>0.0</v>
      </c>
      <c r="O18" s="127" t="str">
        <f t="shared" si="6"/>
        <v>#DIV/0!</v>
      </c>
      <c r="P18" s="126">
        <v>0.0</v>
      </c>
      <c r="Q18" s="52"/>
      <c r="R18" s="1"/>
      <c r="S18" s="1"/>
      <c r="T18" s="1"/>
      <c r="U18" s="1"/>
      <c r="V18" s="1"/>
      <c r="W18" s="1"/>
      <c r="X18" s="1"/>
      <c r="Y18" s="1"/>
      <c r="Z18" s="1"/>
    </row>
    <row r="19" ht="10.5" customHeight="1">
      <c r="A19" s="64" t="s">
        <v>49</v>
      </c>
      <c r="B19" s="67">
        <f>'Ricavi Hotel per asset'!Q19</f>
        <v>0</v>
      </c>
      <c r="C19" s="68" t="str">
        <f t="shared" si="1"/>
        <v>#DIV/0!</v>
      </c>
      <c r="D19" s="67">
        <f>'Ricavi Hotel per asset'!R19</f>
        <v>0</v>
      </c>
      <c r="E19" s="68" t="str">
        <f>(F19-D19)/F19</f>
        <v>#DIV/0!</v>
      </c>
      <c r="F19" s="67">
        <f>'Ricavi Hotel per asset'!S19</f>
        <v>0</v>
      </c>
      <c r="G19" s="128">
        <f>SUM(G17:G18)</f>
        <v>0</v>
      </c>
      <c r="H19" s="129" t="str">
        <f t="shared" si="3"/>
        <v>#DIV/0!</v>
      </c>
      <c r="I19" s="128">
        <f>SUM(I17:I18)</f>
        <v>0</v>
      </c>
      <c r="J19" s="129" t="str">
        <f t="shared" si="4"/>
        <v>#DIV/0!</v>
      </c>
      <c r="K19" s="128">
        <f t="shared" ref="K19:L19" si="14">SUM(K17:K18)</f>
        <v>0</v>
      </c>
      <c r="L19" s="130">
        <f t="shared" si="14"/>
        <v>0</v>
      </c>
      <c r="M19" s="131" t="str">
        <f t="shared" si="5"/>
        <v>#DIV/0!</v>
      </c>
      <c r="N19" s="130">
        <f>SUM(N17:N18)</f>
        <v>0</v>
      </c>
      <c r="O19" s="131" t="str">
        <f t="shared" si="6"/>
        <v>#DIV/0!</v>
      </c>
      <c r="P19" s="130">
        <f>SUM(P17:P18)</f>
        <v>0</v>
      </c>
      <c r="Q19" s="52"/>
      <c r="R19" s="72"/>
      <c r="S19" s="72"/>
      <c r="T19" s="72"/>
      <c r="U19" s="72"/>
      <c r="V19" s="72"/>
      <c r="W19" s="72"/>
      <c r="X19" s="72"/>
      <c r="Y19" s="72"/>
      <c r="Z19" s="72"/>
    </row>
    <row r="20" ht="10.5" customHeight="1">
      <c r="A20" s="1" t="s">
        <v>19</v>
      </c>
      <c r="B20" s="59">
        <f>'Ricavi Hotel per asset'!Q20</f>
        <v>0</v>
      </c>
      <c r="C20" s="60" t="str">
        <f t="shared" si="1"/>
        <v>#DIV/0!</v>
      </c>
      <c r="D20" s="59">
        <f>'Ricavi Hotel per asset'!R20</f>
        <v>0</v>
      </c>
      <c r="E20" s="60" t="str">
        <f>(D20-F20)/F20</f>
        <v>#DIV/0!</v>
      </c>
      <c r="F20" s="59">
        <f>'Ricavi Hotel per asset'!S20</f>
        <v>0</v>
      </c>
      <c r="G20" s="124">
        <v>0.0</v>
      </c>
      <c r="H20" s="125" t="str">
        <f t="shared" si="3"/>
        <v>#DIV/0!</v>
      </c>
      <c r="I20" s="124">
        <v>0.0</v>
      </c>
      <c r="J20" s="125" t="str">
        <f t="shared" si="4"/>
        <v>#DIV/0!</v>
      </c>
      <c r="K20" s="124">
        <v>0.0</v>
      </c>
      <c r="L20" s="126">
        <v>0.0</v>
      </c>
      <c r="M20" s="127" t="str">
        <f t="shared" si="5"/>
        <v>#DIV/0!</v>
      </c>
      <c r="N20" s="126">
        <v>0.0</v>
      </c>
      <c r="O20" s="127" t="str">
        <f t="shared" si="6"/>
        <v>#DIV/0!</v>
      </c>
      <c r="P20" s="126">
        <v>0.0</v>
      </c>
      <c r="Q20" s="52"/>
      <c r="R20" s="1"/>
      <c r="S20" s="1"/>
      <c r="T20" s="1"/>
      <c r="U20" s="1"/>
      <c r="V20" s="1"/>
      <c r="W20" s="1"/>
      <c r="X20" s="1"/>
      <c r="Y20" s="1"/>
      <c r="Z20" s="1"/>
    </row>
    <row r="21" ht="10.5" customHeight="1">
      <c r="A21" s="64" t="s">
        <v>49</v>
      </c>
      <c r="B21" s="67">
        <f>'Ricavi Hotel per asset'!Q21</f>
        <v>0</v>
      </c>
      <c r="C21" s="68" t="str">
        <f t="shared" si="1"/>
        <v>#DIV/0!</v>
      </c>
      <c r="D21" s="67">
        <f>'Ricavi Hotel per asset'!R21</f>
        <v>0</v>
      </c>
      <c r="E21" s="68" t="str">
        <f>(F21-D21)/F21</f>
        <v>#DIV/0!</v>
      </c>
      <c r="F21" s="67">
        <f>'Ricavi Hotel per asset'!S21</f>
        <v>0</v>
      </c>
      <c r="G21" s="128">
        <f>SUM(G19:G20)</f>
        <v>0</v>
      </c>
      <c r="H21" s="129" t="str">
        <f t="shared" si="3"/>
        <v>#DIV/0!</v>
      </c>
      <c r="I21" s="128">
        <f>SUM(I19:I20)</f>
        <v>0</v>
      </c>
      <c r="J21" s="129" t="str">
        <f t="shared" si="4"/>
        <v>#DIV/0!</v>
      </c>
      <c r="K21" s="128">
        <f t="shared" ref="K21:L21" si="15">SUM(K19:K20)</f>
        <v>0</v>
      </c>
      <c r="L21" s="130">
        <f t="shared" si="15"/>
        <v>0</v>
      </c>
      <c r="M21" s="131" t="str">
        <f t="shared" si="5"/>
        <v>#DIV/0!</v>
      </c>
      <c r="N21" s="130">
        <f>SUM(N19:N20)</f>
        <v>0</v>
      </c>
      <c r="O21" s="131" t="str">
        <f t="shared" si="6"/>
        <v>#DIV/0!</v>
      </c>
      <c r="P21" s="130">
        <f>SUM(P19:P20)</f>
        <v>0</v>
      </c>
      <c r="Q21" s="52"/>
      <c r="R21" s="72"/>
      <c r="S21" s="72"/>
      <c r="T21" s="72"/>
      <c r="U21" s="72"/>
      <c r="V21" s="72"/>
      <c r="W21" s="72"/>
      <c r="X21" s="72"/>
      <c r="Y21" s="72"/>
      <c r="Z21" s="72"/>
    </row>
    <row r="22" ht="10.5" customHeight="1">
      <c r="A22" s="1" t="s">
        <v>20</v>
      </c>
      <c r="B22" s="59">
        <f>'Ricavi Hotel per asset'!Q22</f>
        <v>0</v>
      </c>
      <c r="C22" s="60" t="str">
        <f t="shared" si="1"/>
        <v>#DIV/0!</v>
      </c>
      <c r="D22" s="59">
        <f>'Ricavi Hotel per asset'!R22</f>
        <v>0</v>
      </c>
      <c r="E22" s="60" t="str">
        <f>(D22-F22)/F22</f>
        <v>#DIV/0!</v>
      </c>
      <c r="F22" s="59">
        <f>'Ricavi Hotel per asset'!S22</f>
        <v>0</v>
      </c>
      <c r="G22" s="124">
        <v>0.0</v>
      </c>
      <c r="H22" s="125" t="str">
        <f t="shared" si="3"/>
        <v>#DIV/0!</v>
      </c>
      <c r="I22" s="124">
        <v>0.0</v>
      </c>
      <c r="J22" s="125" t="str">
        <f t="shared" si="4"/>
        <v>#DIV/0!</v>
      </c>
      <c r="K22" s="124">
        <v>0.0</v>
      </c>
      <c r="L22" s="126">
        <v>0.0</v>
      </c>
      <c r="M22" s="127" t="str">
        <f t="shared" si="5"/>
        <v>#DIV/0!</v>
      </c>
      <c r="N22" s="126">
        <v>0.0</v>
      </c>
      <c r="O22" s="127" t="str">
        <f t="shared" si="6"/>
        <v>#DIV/0!</v>
      </c>
      <c r="P22" s="126">
        <v>0.0</v>
      </c>
      <c r="Q22" s="52"/>
      <c r="R22" s="1"/>
      <c r="S22" s="1"/>
      <c r="T22" s="1"/>
      <c r="U22" s="1"/>
      <c r="V22" s="1"/>
      <c r="W22" s="1"/>
      <c r="X22" s="1"/>
      <c r="Y22" s="1"/>
      <c r="Z22" s="1"/>
    </row>
    <row r="23" ht="10.5" customHeight="1">
      <c r="A23" s="64" t="s">
        <v>49</v>
      </c>
      <c r="B23" s="67">
        <f>'Ricavi Hotel per asset'!Q23</f>
        <v>0</v>
      </c>
      <c r="C23" s="68" t="str">
        <f t="shared" si="1"/>
        <v>#DIV/0!</v>
      </c>
      <c r="D23" s="67">
        <f>'Ricavi Hotel per asset'!R23</f>
        <v>0</v>
      </c>
      <c r="E23" s="68" t="str">
        <f>(F23-D23)/F23</f>
        <v>#DIV/0!</v>
      </c>
      <c r="F23" s="67">
        <f>'Ricavi Hotel per asset'!S23</f>
        <v>0</v>
      </c>
      <c r="G23" s="128">
        <f>SUM(G21:G22)</f>
        <v>0</v>
      </c>
      <c r="H23" s="129" t="str">
        <f t="shared" si="3"/>
        <v>#DIV/0!</v>
      </c>
      <c r="I23" s="128">
        <f>SUM(I21:I22)</f>
        <v>0</v>
      </c>
      <c r="J23" s="129" t="str">
        <f t="shared" si="4"/>
        <v>#DIV/0!</v>
      </c>
      <c r="K23" s="128">
        <f t="shared" ref="K23:L23" si="16">SUM(K21:K22)</f>
        <v>0</v>
      </c>
      <c r="L23" s="130">
        <f t="shared" si="16"/>
        <v>0</v>
      </c>
      <c r="M23" s="131" t="str">
        <f t="shared" si="5"/>
        <v>#DIV/0!</v>
      </c>
      <c r="N23" s="130">
        <f>SUM(N21:N22)</f>
        <v>0</v>
      </c>
      <c r="O23" s="131" t="str">
        <f t="shared" si="6"/>
        <v>#DIV/0!</v>
      </c>
      <c r="P23" s="130">
        <f>SUM(P21:P22)</f>
        <v>0</v>
      </c>
      <c r="Q23" s="52"/>
      <c r="R23" s="72"/>
      <c r="S23" s="72"/>
      <c r="T23" s="72"/>
      <c r="U23" s="72"/>
      <c r="V23" s="72"/>
      <c r="W23" s="72"/>
      <c r="X23" s="72"/>
      <c r="Y23" s="72"/>
      <c r="Z23" s="72"/>
    </row>
    <row r="24" ht="10.5" customHeight="1">
      <c r="A24" s="23" t="s">
        <v>21</v>
      </c>
      <c r="B24" s="75">
        <f>'Ricavi Hotel per asset'!Q24</f>
        <v>0</v>
      </c>
      <c r="C24" s="76" t="str">
        <f t="shared" si="1"/>
        <v>#DIV/0!</v>
      </c>
      <c r="D24" s="75">
        <f>'Ricavi Hotel per asset'!R24</f>
        <v>0</v>
      </c>
      <c r="E24" s="76" t="str">
        <f t="shared" ref="E24:E25" si="17">(D24-F24)/F24</f>
        <v>#DIV/0!</v>
      </c>
      <c r="F24" s="75">
        <f>'Ricavi Hotel per asset'!S24</f>
        <v>0</v>
      </c>
      <c r="G24" s="132">
        <v>0.0</v>
      </c>
      <c r="H24" s="133" t="str">
        <f t="shared" si="3"/>
        <v>#DIV/0!</v>
      </c>
      <c r="I24" s="132">
        <v>0.0</v>
      </c>
      <c r="J24" s="133" t="str">
        <f t="shared" si="4"/>
        <v>#DIV/0!</v>
      </c>
      <c r="K24" s="132">
        <v>0.0</v>
      </c>
      <c r="L24" s="134">
        <v>0.0</v>
      </c>
      <c r="M24" s="135" t="str">
        <f t="shared" si="5"/>
        <v>#DIV/0!</v>
      </c>
      <c r="N24" s="134">
        <v>0.0</v>
      </c>
      <c r="O24" s="135" t="str">
        <f t="shared" si="6"/>
        <v>#DIV/0!</v>
      </c>
      <c r="P24" s="134">
        <v>0.0</v>
      </c>
      <c r="Q24" s="52"/>
      <c r="R24" s="23"/>
      <c r="S24" s="23"/>
      <c r="T24" s="23"/>
      <c r="U24" s="23"/>
      <c r="V24" s="23"/>
      <c r="W24" s="23"/>
      <c r="X24" s="23"/>
      <c r="Y24" s="23"/>
      <c r="Z24" s="23"/>
    </row>
    <row r="25" ht="10.5" customHeight="1">
      <c r="A25" s="6" t="s">
        <v>22</v>
      </c>
      <c r="B25" s="81">
        <f>B23+B24</f>
        <v>0</v>
      </c>
      <c r="C25" s="60" t="str">
        <f t="shared" si="1"/>
        <v>#DIV/0!</v>
      </c>
      <c r="D25" s="81">
        <f>D23+D24</f>
        <v>0</v>
      </c>
      <c r="E25" s="60" t="str">
        <f t="shared" si="17"/>
        <v>#DIV/0!</v>
      </c>
      <c r="F25" s="81">
        <f t="shared" ref="F25:G25" si="18">F23+F24</f>
        <v>0</v>
      </c>
      <c r="G25" s="136">
        <f t="shared" si="18"/>
        <v>0</v>
      </c>
      <c r="H25" s="125" t="str">
        <f t="shared" si="3"/>
        <v>#DIV/0!</v>
      </c>
      <c r="I25" s="136">
        <f>I23+I24</f>
        <v>0</v>
      </c>
      <c r="J25" s="125" t="str">
        <f t="shared" si="4"/>
        <v>#DIV/0!</v>
      </c>
      <c r="K25" s="136">
        <f t="shared" ref="K25:L25" si="19">K23+K24</f>
        <v>0</v>
      </c>
      <c r="L25" s="137">
        <f t="shared" si="19"/>
        <v>0</v>
      </c>
      <c r="M25" s="127" t="str">
        <f t="shared" si="5"/>
        <v>#DIV/0!</v>
      </c>
      <c r="N25" s="137">
        <f>N23+N24</f>
        <v>0</v>
      </c>
      <c r="O25" s="127" t="str">
        <f t="shared" si="6"/>
        <v>#DIV/0!</v>
      </c>
      <c r="P25" s="137">
        <f>P23+P24</f>
        <v>0</v>
      </c>
      <c r="Q25" s="52"/>
      <c r="R25" s="6"/>
      <c r="S25" s="6"/>
      <c r="T25" s="6"/>
      <c r="U25" s="6"/>
      <c r="V25" s="6"/>
      <c r="W25" s="6"/>
      <c r="X25" s="6"/>
      <c r="Y25" s="6"/>
      <c r="Z25" s="6"/>
    </row>
    <row r="26" ht="10.5" customHeight="1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ht="10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0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0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0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0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0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0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0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0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0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0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0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0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0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0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0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0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0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0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0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0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0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0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0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0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0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0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0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0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0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0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0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0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0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0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0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0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0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0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0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0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0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0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0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0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0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0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0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0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0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0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0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0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0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0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0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0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0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0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0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0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0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0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0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0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0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0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0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0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0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0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0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0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0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0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0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0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0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0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0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0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0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0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0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0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0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0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0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0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0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0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0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0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0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0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0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0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0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0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0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0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0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0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0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0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0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0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0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0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0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0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0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0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0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0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0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0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0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0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0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0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0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0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0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0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0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0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0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0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0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0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0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0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0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0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0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0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0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0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0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0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0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0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0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0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0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0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0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0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0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0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0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0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0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0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0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0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0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0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0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0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0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0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0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0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0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0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0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0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0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0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0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0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0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0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0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0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0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0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0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0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0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0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0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0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0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0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0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0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0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0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0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0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0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0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0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0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0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0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0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0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0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0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0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0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0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0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0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0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0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0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0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0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0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0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0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0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0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0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0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0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0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0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0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0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0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0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0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0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0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0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0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0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0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0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0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0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0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0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0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0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0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0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0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0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0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0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0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0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0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0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0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0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0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0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0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0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0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0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0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0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0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0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0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0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0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0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0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0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0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0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0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0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0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0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0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0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0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0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0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0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0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0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0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0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0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0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0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0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0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0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0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0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0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0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0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0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0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0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0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0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0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0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0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0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0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0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0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0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0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0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0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0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0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0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0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0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0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0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0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0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0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0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0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0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0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0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0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0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0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0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0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0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0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0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0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0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0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0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0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0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0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0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0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0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0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0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0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0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0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0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0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0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0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0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0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0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0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0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0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0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0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0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0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0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0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0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0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0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0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0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0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0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0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0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0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0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0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0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0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0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0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0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0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0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0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0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0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0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0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0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0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0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0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0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0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0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0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0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0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0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0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0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0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0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0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0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0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0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0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0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0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0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0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0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0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0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0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0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0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0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0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0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0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0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0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0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0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0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0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0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0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0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0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0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0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0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0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0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0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0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0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0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0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0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0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0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0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0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0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0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0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0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0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0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0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0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0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0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0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0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0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0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0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0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0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0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0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0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0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0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0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0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0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0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0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0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0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0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0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0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0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0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0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0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0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0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0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0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0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0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0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0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0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0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0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0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0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0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0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0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0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0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0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0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0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0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0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0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0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0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0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0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0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0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0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0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0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0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0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0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0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0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0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0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0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0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0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0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0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0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0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0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0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0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0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0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0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0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0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0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0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0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0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0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0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0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0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0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0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0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0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0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0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0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0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0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0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0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0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0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0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0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0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0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0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0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0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0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0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0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0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0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0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0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0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0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0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0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0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0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0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0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0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0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0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0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0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0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0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0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0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0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0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0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0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0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0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0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0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0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0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0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0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0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0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0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0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0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0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0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0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0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0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0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0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0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0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0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0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0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0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0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0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0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0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0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0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0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0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0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0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0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0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0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0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0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0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0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0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0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0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0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0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0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0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0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0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0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0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0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0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0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0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0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0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0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0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0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0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0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0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0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0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0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0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0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0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0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0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0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0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0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0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0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0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0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0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0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0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0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0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0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0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0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0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0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0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0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0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0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0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0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0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0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0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0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0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0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0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0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0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0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0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0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0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0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0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0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0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0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0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0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0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0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0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0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0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0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0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0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0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0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0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0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0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0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0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0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0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0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0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0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0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0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0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0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0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0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0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0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0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0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0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0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0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0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0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0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0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0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0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0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0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0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0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0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0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0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0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0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0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0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0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0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0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0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0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0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0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0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0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0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0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0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0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0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0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0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0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0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0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0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0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0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0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0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0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0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0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0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0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0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0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0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0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0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0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0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0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0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0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0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0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0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0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0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0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0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0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0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0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0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0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0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0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0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0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0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0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0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0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0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0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0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0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0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0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0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0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0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0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0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0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0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0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0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0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0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0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0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0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0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0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0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0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0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0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0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0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0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0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0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0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0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0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0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0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0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0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0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0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0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0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0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0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0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0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0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0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0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0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0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0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0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0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0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0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0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0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0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0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0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0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0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0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0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0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0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0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0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0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0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0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0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0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0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0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0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0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0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0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0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0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0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0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0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0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0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0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0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0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0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0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0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0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0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0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0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0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0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0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0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0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0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0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0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0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0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0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0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0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0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0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0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0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0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0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0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0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0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0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0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0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0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0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0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0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0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0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0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0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0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0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0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0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0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0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0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0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0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0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0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0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0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0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0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0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0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0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0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0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0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0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:$Q$26"/>
  <mergeCells count="3">
    <mergeCell ref="B1:F1"/>
    <mergeCell ref="G1:K1"/>
    <mergeCell ref="L1:P1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7.86"/>
    <col customWidth="1" min="3" max="3" width="6.57"/>
    <col customWidth="1" min="4" max="4" width="7.43"/>
    <col customWidth="1" min="5" max="5" width="7.29"/>
    <col customWidth="1" min="6" max="6" width="9.43"/>
    <col customWidth="1" min="7" max="7" width="7.86"/>
    <col customWidth="1" min="8" max="8" width="6.57"/>
    <col customWidth="1" min="9" max="9" width="8.29"/>
    <col customWidth="1" min="10" max="10" width="7.29"/>
    <col customWidth="1" min="11" max="11" width="8.57"/>
    <col customWidth="1" min="12" max="12" width="7.86"/>
    <col customWidth="1" min="13" max="13" width="6.57"/>
    <col customWidth="1" min="14" max="14" width="8.29"/>
    <col customWidth="1" min="15" max="15" width="7.29"/>
    <col customWidth="1" min="16" max="16" width="8.57"/>
    <col customWidth="1" min="17" max="17" width="3.14"/>
    <col customWidth="1" min="18" max="33" width="8.57"/>
  </cols>
  <sheetData>
    <row r="1" ht="13.5" customHeight="1">
      <c r="A1" s="138"/>
      <c r="B1" s="139">
        <v>2024.0</v>
      </c>
      <c r="C1" s="3"/>
      <c r="D1" s="3"/>
      <c r="E1" s="3"/>
      <c r="F1" s="4"/>
      <c r="G1" s="139">
        <v>2025.0</v>
      </c>
      <c r="H1" s="3"/>
      <c r="I1" s="3"/>
      <c r="J1" s="3"/>
      <c r="K1" s="140"/>
      <c r="L1" s="139" t="s">
        <v>9</v>
      </c>
      <c r="M1" s="3"/>
      <c r="N1" s="3"/>
      <c r="O1" s="3"/>
      <c r="P1" s="140"/>
      <c r="Q1" s="138" t="s">
        <v>1</v>
      </c>
      <c r="R1" s="138"/>
      <c r="S1" s="141">
        <v>2024.0</v>
      </c>
      <c r="T1" s="3"/>
      <c r="U1" s="3"/>
      <c r="V1" s="3"/>
      <c r="W1" s="4"/>
      <c r="X1" s="141">
        <v>2025.0</v>
      </c>
      <c r="Y1" s="3"/>
      <c r="Z1" s="3"/>
      <c r="AA1" s="3"/>
      <c r="AB1" s="140"/>
      <c r="AC1" s="141" t="s">
        <v>9</v>
      </c>
      <c r="AD1" s="3"/>
      <c r="AE1" s="3"/>
      <c r="AF1" s="3"/>
      <c r="AG1" s="140"/>
    </row>
    <row r="2" ht="13.5" customHeight="1">
      <c r="A2" s="142" t="s">
        <v>55</v>
      </c>
      <c r="B2" s="143" t="s">
        <v>60</v>
      </c>
      <c r="C2" s="139" t="s">
        <v>61</v>
      </c>
      <c r="D2" s="3"/>
      <c r="E2" s="3"/>
      <c r="F2" s="4"/>
      <c r="G2" s="144" t="s">
        <v>60</v>
      </c>
      <c r="H2" s="139" t="s">
        <v>61</v>
      </c>
      <c r="I2" s="3"/>
      <c r="J2" s="3"/>
      <c r="K2" s="4"/>
      <c r="L2" s="144" t="s">
        <v>60</v>
      </c>
      <c r="M2" s="139" t="s">
        <v>61</v>
      </c>
      <c r="N2" s="3"/>
      <c r="O2" s="3"/>
      <c r="P2" s="4"/>
      <c r="Q2" s="138"/>
      <c r="R2" s="145" t="s">
        <v>2</v>
      </c>
      <c r="S2" s="146" t="s">
        <v>60</v>
      </c>
      <c r="T2" s="141" t="s">
        <v>61</v>
      </c>
      <c r="U2" s="3"/>
      <c r="V2" s="3"/>
      <c r="W2" s="4"/>
      <c r="X2" s="147" t="s">
        <v>60</v>
      </c>
      <c r="Y2" s="141" t="s">
        <v>61</v>
      </c>
      <c r="Z2" s="3"/>
      <c r="AA2" s="3"/>
      <c r="AB2" s="4"/>
      <c r="AC2" s="147" t="s">
        <v>60</v>
      </c>
      <c r="AD2" s="141" t="s">
        <v>61</v>
      </c>
      <c r="AE2" s="3"/>
      <c r="AF2" s="3"/>
      <c r="AG2" s="4"/>
    </row>
    <row r="3" ht="13.5" customHeight="1">
      <c r="A3" s="138"/>
      <c r="B3" s="33" t="s">
        <v>62</v>
      </c>
      <c r="C3" s="103" t="s">
        <v>63</v>
      </c>
      <c r="D3" s="104" t="s">
        <v>64</v>
      </c>
      <c r="E3" s="105" t="s">
        <v>65</v>
      </c>
      <c r="F3" s="106" t="s">
        <v>66</v>
      </c>
      <c r="G3" s="33" t="s">
        <v>62</v>
      </c>
      <c r="H3" s="103" t="s">
        <v>63</v>
      </c>
      <c r="I3" s="104" t="s">
        <v>64</v>
      </c>
      <c r="J3" s="105" t="s">
        <v>65</v>
      </c>
      <c r="K3" s="106" t="s">
        <v>66</v>
      </c>
      <c r="L3" s="33" t="s">
        <v>62</v>
      </c>
      <c r="M3" s="103" t="s">
        <v>63</v>
      </c>
      <c r="N3" s="104" t="s">
        <v>64</v>
      </c>
      <c r="O3" s="105" t="s">
        <v>65</v>
      </c>
      <c r="P3" s="106" t="s">
        <v>66</v>
      </c>
      <c r="Q3" s="138"/>
      <c r="R3" s="138"/>
      <c r="S3" s="33" t="s">
        <v>62</v>
      </c>
      <c r="T3" s="103" t="s">
        <v>63</v>
      </c>
      <c r="U3" s="104" t="s">
        <v>64</v>
      </c>
      <c r="V3" s="105" t="s">
        <v>65</v>
      </c>
      <c r="W3" s="106" t="s">
        <v>66</v>
      </c>
      <c r="X3" s="33" t="s">
        <v>62</v>
      </c>
      <c r="Y3" s="103" t="s">
        <v>63</v>
      </c>
      <c r="Z3" s="104" t="s">
        <v>64</v>
      </c>
      <c r="AA3" s="105" t="s">
        <v>65</v>
      </c>
      <c r="AB3" s="106" t="s">
        <v>66</v>
      </c>
      <c r="AC3" s="33" t="s">
        <v>62</v>
      </c>
      <c r="AD3" s="103" t="s">
        <v>63</v>
      </c>
      <c r="AE3" s="104" t="s">
        <v>64</v>
      </c>
      <c r="AF3" s="105" t="s">
        <v>65</v>
      </c>
      <c r="AG3" s="106" t="s">
        <v>66</v>
      </c>
    </row>
    <row r="4" ht="13.5" customHeight="1">
      <c r="A4" s="148" t="s">
        <v>10</v>
      </c>
      <c r="B4" s="117" t="str">
        <f>'Ricavi Gruppo x asset'!B3</f>
        <v/>
      </c>
      <c r="C4" s="149" t="str">
        <f>'Costi x asset'!B4/'incidenza costi-ricavi'!B4</f>
        <v>#DIV/0!</v>
      </c>
      <c r="D4" s="150" t="str">
        <f>'Costi x asset'!E4/'incidenza costi-ricavi'!B4</f>
        <v>#DIV/0!</v>
      </c>
      <c r="E4" s="151" t="str">
        <f>'Costi x asset'!H4/B4</f>
        <v>#DIV/0!</v>
      </c>
      <c r="F4" s="152" t="str">
        <f>'Costi x asset'!K4/B4</f>
        <v>#DIV/0!</v>
      </c>
      <c r="G4" s="117">
        <f>'Ricavi Gruppo x asset'!D3</f>
        <v>0</v>
      </c>
      <c r="H4" s="149" t="str">
        <f>'Costi x asset'!C4/'incidenza costi-ricavi'!G4</f>
        <v>#DIV/0!</v>
      </c>
      <c r="I4" s="150" t="str">
        <f>'Costi x asset'!F4/'incidenza costi-ricavi'!G4</f>
        <v>#DIV/0!</v>
      </c>
      <c r="J4" s="151" t="str">
        <f>'Costi x asset'!I4/'incidenza costi-ricavi'!G4</f>
        <v>#DIV/0!</v>
      </c>
      <c r="K4" s="152" t="str">
        <f>'Costi x asset'!L4/'incidenza costi-ricavi'!G4</f>
        <v>#DIV/0!</v>
      </c>
      <c r="L4" s="117">
        <f>'Ricavi Gruppo x asset'!F3</f>
        <v>0</v>
      </c>
      <c r="M4" s="149" t="str">
        <f>'Costi x asset'!D4/'incidenza costi-ricavi'!L4</f>
        <v>#DIV/0!</v>
      </c>
      <c r="N4" s="150" t="str">
        <f>'Costi x asset'!G4/'incidenza costi-ricavi'!L4</f>
        <v>#DIV/0!</v>
      </c>
      <c r="O4" s="151" t="str">
        <f>'Costi x asset'!J4/'incidenza costi-ricavi'!L4</f>
        <v>#DIV/0!</v>
      </c>
      <c r="P4" s="152" t="str">
        <f>'Costi x asset'!M4/'incidenza costi-ricavi'!L4</f>
        <v>#DIV/0!</v>
      </c>
      <c r="Q4" s="138"/>
      <c r="R4" s="148" t="s">
        <v>10</v>
      </c>
      <c r="S4" s="117" t="str">
        <f>'Ricavi Gruppo x asset'!#REF!</f>
        <v>#ERROR!</v>
      </c>
      <c r="T4" s="149" t="str">
        <f>'Costi x asset'!B40/S4</f>
        <v>#ERROR!</v>
      </c>
      <c r="U4" s="150" t="str">
        <f>'Costi x asset'!E40/S4</f>
        <v>#ERROR!</v>
      </c>
      <c r="V4" s="151" t="str">
        <f>'Costi x asset'!H40/S4</f>
        <v>#ERROR!</v>
      </c>
      <c r="W4" s="152" t="str">
        <f>'Costi x asset'!K40/S4</f>
        <v>#ERROR!</v>
      </c>
      <c r="X4" s="117" t="str">
        <f>'Ricavi Gruppo x asset'!#REF!</f>
        <v>#ERROR!</v>
      </c>
      <c r="Y4" s="149" t="str">
        <f>'Costi x asset'!C40/X4</f>
        <v>#ERROR!</v>
      </c>
      <c r="Z4" s="150" t="str">
        <f>'Costi x asset'!F40/X4</f>
        <v>#ERROR!</v>
      </c>
      <c r="AA4" s="151" t="str">
        <f>'Costi x asset'!I40/X4</f>
        <v>#ERROR!</v>
      </c>
      <c r="AB4" s="152" t="str">
        <f>'Costi x asset'!L40/X4</f>
        <v>#ERROR!</v>
      </c>
      <c r="AC4" s="117" t="str">
        <f>'Ricavi Gruppo x asset'!#REF!</f>
        <v>#ERROR!</v>
      </c>
      <c r="AD4" s="149" t="str">
        <f>'Costi x asset'!D40/AC4</f>
        <v>#ERROR!</v>
      </c>
      <c r="AE4" s="150" t="str">
        <f>'Costi x asset'!G40/AC4</f>
        <v>#ERROR!</v>
      </c>
      <c r="AF4" s="151" t="str">
        <f>'Costi x asset'!J40/AC4</f>
        <v>#ERROR!</v>
      </c>
      <c r="AG4" s="152" t="str">
        <f>'Costi x asset'!M40/AC4</f>
        <v>#ERROR!</v>
      </c>
    </row>
    <row r="5" ht="13.5" customHeight="1">
      <c r="A5" s="148" t="s">
        <v>11</v>
      </c>
      <c r="B5" s="117" t="str">
        <f>'Ricavi Gruppo x asset'!B4</f>
        <v/>
      </c>
      <c r="C5" s="149" t="str">
        <f>'Costi x asset'!B5/'incidenza costi-ricavi'!B5</f>
        <v>#DIV/0!</v>
      </c>
      <c r="D5" s="150" t="str">
        <f>'Costi x asset'!E5/'incidenza costi-ricavi'!B5</f>
        <v>#DIV/0!</v>
      </c>
      <c r="E5" s="151" t="str">
        <f>'Costi x asset'!H5/B5</f>
        <v>#DIV/0!</v>
      </c>
      <c r="F5" s="152" t="str">
        <f>'Costi x asset'!K5/B5</f>
        <v>#DIV/0!</v>
      </c>
      <c r="G5" s="117">
        <f>'Ricavi Gruppo x asset'!D4</f>
        <v>0</v>
      </c>
      <c r="H5" s="149" t="str">
        <f>'Costi x asset'!C5/'incidenza costi-ricavi'!G5</f>
        <v>#DIV/0!</v>
      </c>
      <c r="I5" s="150" t="str">
        <f>'Costi x asset'!F5/'incidenza costi-ricavi'!G5</f>
        <v>#DIV/0!</v>
      </c>
      <c r="J5" s="151" t="str">
        <f>'Costi x asset'!I5/'incidenza costi-ricavi'!G5</f>
        <v>#DIV/0!</v>
      </c>
      <c r="K5" s="152" t="str">
        <f>'Costi x asset'!L5/'incidenza costi-ricavi'!G5</f>
        <v>#DIV/0!</v>
      </c>
      <c r="L5" s="117">
        <f>'Ricavi Gruppo x asset'!F4</f>
        <v>0</v>
      </c>
      <c r="M5" s="149" t="str">
        <f>'Costi x asset'!D5/'incidenza costi-ricavi'!L5</f>
        <v>#DIV/0!</v>
      </c>
      <c r="N5" s="150" t="str">
        <f>'Costi x asset'!G5/'incidenza costi-ricavi'!L5</f>
        <v>#DIV/0!</v>
      </c>
      <c r="O5" s="151" t="str">
        <f>'Costi x asset'!J5/'incidenza costi-ricavi'!L5</f>
        <v>#DIV/0!</v>
      </c>
      <c r="P5" s="152" t="str">
        <f>'Costi x asset'!M5/'incidenza costi-ricavi'!L5</f>
        <v>#DIV/0!</v>
      </c>
      <c r="Q5" s="138"/>
      <c r="R5" s="148" t="s">
        <v>11</v>
      </c>
      <c r="S5" s="117" t="str">
        <f>'Ricavi Gruppo x asset'!#REF!</f>
        <v>#ERROR!</v>
      </c>
      <c r="T5" s="149" t="str">
        <f>'Costi x asset'!B41/S5</f>
        <v>#ERROR!</v>
      </c>
      <c r="U5" s="150" t="str">
        <f>'Costi x asset'!E41/S5</f>
        <v>#ERROR!</v>
      </c>
      <c r="V5" s="151" t="str">
        <f>'Costi x asset'!H41/S5</f>
        <v>#ERROR!</v>
      </c>
      <c r="W5" s="152" t="str">
        <f>'Costi x asset'!K41/S5</f>
        <v>#ERROR!</v>
      </c>
      <c r="X5" s="117" t="str">
        <f>'Ricavi Gruppo x asset'!#REF!</f>
        <v>#ERROR!</v>
      </c>
      <c r="Y5" s="149" t="str">
        <f>'Costi x asset'!C41/X5</f>
        <v>#ERROR!</v>
      </c>
      <c r="Z5" s="150" t="str">
        <f>'Costi x asset'!F41/X5</f>
        <v>#ERROR!</v>
      </c>
      <c r="AA5" s="151" t="str">
        <f>'Costi x asset'!I41/X5</f>
        <v>#ERROR!</v>
      </c>
      <c r="AB5" s="152" t="str">
        <f>'Costi x asset'!L41/X5</f>
        <v>#ERROR!</v>
      </c>
      <c r="AC5" s="117" t="str">
        <f>'Ricavi Gruppo x asset'!#REF!</f>
        <v>#ERROR!</v>
      </c>
      <c r="AD5" s="149" t="str">
        <f>'Costi x asset'!D41/AC5</f>
        <v>#ERROR!</v>
      </c>
      <c r="AE5" s="150" t="str">
        <f>'Costi x asset'!G41/AC5</f>
        <v>#ERROR!</v>
      </c>
      <c r="AF5" s="151" t="str">
        <f>'Costi x asset'!J41/AC5</f>
        <v>#ERROR!</v>
      </c>
      <c r="AG5" s="152" t="str">
        <f>'Costi x asset'!M41/AC5</f>
        <v>#ERROR!</v>
      </c>
    </row>
    <row r="6" ht="13.5" customHeight="1">
      <c r="A6" s="148" t="s">
        <v>12</v>
      </c>
      <c r="B6" s="117" t="str">
        <f>'Ricavi Gruppo x asset'!B6</f>
        <v/>
      </c>
      <c r="C6" s="149" t="str">
        <f>'Costi x asset'!B6/'incidenza costi-ricavi'!B6</f>
        <v>#DIV/0!</v>
      </c>
      <c r="D6" s="150" t="str">
        <f>'Costi x asset'!E6/'incidenza costi-ricavi'!B6</f>
        <v>#DIV/0!</v>
      </c>
      <c r="E6" s="151" t="str">
        <f>'Costi x asset'!H6/B6</f>
        <v>#DIV/0!</v>
      </c>
      <c r="F6" s="152" t="str">
        <f>'Costi x asset'!K6/B6</f>
        <v>#DIV/0!</v>
      </c>
      <c r="G6" s="117">
        <f>'Ricavi Gruppo x asset'!D6</f>
        <v>0</v>
      </c>
      <c r="H6" s="149" t="str">
        <f>'Costi x asset'!C6/'incidenza costi-ricavi'!G6</f>
        <v>#DIV/0!</v>
      </c>
      <c r="I6" s="150" t="str">
        <f>'Costi x asset'!F6/'incidenza costi-ricavi'!G6</f>
        <v>#DIV/0!</v>
      </c>
      <c r="J6" s="151" t="str">
        <f>'Costi x asset'!I6/'incidenza costi-ricavi'!G6</f>
        <v>#DIV/0!</v>
      </c>
      <c r="K6" s="152" t="str">
        <f>'Costi x asset'!L6/'incidenza costi-ricavi'!G6</f>
        <v>#DIV/0!</v>
      </c>
      <c r="L6" s="117">
        <f>'Ricavi Gruppo x asset'!F6</f>
        <v>0</v>
      </c>
      <c r="M6" s="149" t="str">
        <f>'Costi x asset'!D6/'incidenza costi-ricavi'!L6</f>
        <v>#DIV/0!</v>
      </c>
      <c r="N6" s="150" t="str">
        <f>'Costi x asset'!G6/'incidenza costi-ricavi'!L6</f>
        <v>#DIV/0!</v>
      </c>
      <c r="O6" s="151" t="str">
        <f>'Costi x asset'!J6/'incidenza costi-ricavi'!L6</f>
        <v>#DIV/0!</v>
      </c>
      <c r="P6" s="152" t="str">
        <f>'Costi x asset'!M6/'incidenza costi-ricavi'!L6</f>
        <v>#DIV/0!</v>
      </c>
      <c r="Q6" s="138"/>
      <c r="R6" s="148" t="s">
        <v>12</v>
      </c>
      <c r="S6" s="117" t="str">
        <f>'Ricavi Gruppo x asset'!#REF!</f>
        <v>#ERROR!</v>
      </c>
      <c r="T6" s="149" t="str">
        <f>'Costi x asset'!B42/S6</f>
        <v>#ERROR!</v>
      </c>
      <c r="U6" s="150" t="str">
        <f>'Costi x asset'!E42/S6</f>
        <v>#ERROR!</v>
      </c>
      <c r="V6" s="151" t="str">
        <f>'Costi x asset'!H42/S6</f>
        <v>#ERROR!</v>
      </c>
      <c r="W6" s="152" t="str">
        <f>'Costi x asset'!K42/S6</f>
        <v>#ERROR!</v>
      </c>
      <c r="X6" s="117" t="str">
        <f>'Ricavi Gruppo x asset'!#REF!</f>
        <v>#ERROR!</v>
      </c>
      <c r="Y6" s="149" t="str">
        <f>'Costi x asset'!C42/X6</f>
        <v>#ERROR!</v>
      </c>
      <c r="Z6" s="150" t="str">
        <f>'Costi x asset'!F42/X6</f>
        <v>#ERROR!</v>
      </c>
      <c r="AA6" s="151" t="str">
        <f>'Costi x asset'!I42/X6</f>
        <v>#ERROR!</v>
      </c>
      <c r="AB6" s="152" t="str">
        <f>'Costi x asset'!L42/X6</f>
        <v>#ERROR!</v>
      </c>
      <c r="AC6" s="117" t="str">
        <f>'Ricavi Gruppo x asset'!#REF!</f>
        <v>#ERROR!</v>
      </c>
      <c r="AD6" s="149" t="str">
        <f>'Costi x asset'!D42/AC6</f>
        <v>#ERROR!</v>
      </c>
      <c r="AE6" s="150" t="str">
        <f>'Costi x asset'!G42/AC6</f>
        <v>#ERROR!</v>
      </c>
      <c r="AF6" s="151" t="str">
        <f>'Costi x asset'!J42/AC6</f>
        <v>#ERROR!</v>
      </c>
      <c r="AG6" s="152" t="str">
        <f>'Costi x asset'!M42/AC6</f>
        <v>#ERROR!</v>
      </c>
    </row>
    <row r="7" ht="13.5" customHeight="1">
      <c r="A7" s="148" t="s">
        <v>13</v>
      </c>
      <c r="B7" s="117" t="str">
        <f>'Ricavi Gruppo x asset'!B8</f>
        <v/>
      </c>
      <c r="C7" s="149" t="str">
        <f>'Costi x asset'!B7/'incidenza costi-ricavi'!B7</f>
        <v>#DIV/0!</v>
      </c>
      <c r="D7" s="150" t="str">
        <f>'Costi x asset'!E7/'incidenza costi-ricavi'!B7</f>
        <v>#DIV/0!</v>
      </c>
      <c r="E7" s="151" t="str">
        <f>'Costi x asset'!H7/B7</f>
        <v>#DIV/0!</v>
      </c>
      <c r="F7" s="152" t="str">
        <f>'Costi x asset'!K7/B7</f>
        <v>#DIV/0!</v>
      </c>
      <c r="G7" s="117">
        <f>'Ricavi Gruppo x asset'!D8</f>
        <v>0</v>
      </c>
      <c r="H7" s="149" t="str">
        <f>'Costi x asset'!C7/'incidenza costi-ricavi'!G7</f>
        <v>#DIV/0!</v>
      </c>
      <c r="I7" s="150" t="str">
        <f>'Costi x asset'!F7/'incidenza costi-ricavi'!G7</f>
        <v>#DIV/0!</v>
      </c>
      <c r="J7" s="151" t="str">
        <f>'Costi x asset'!I7/'incidenza costi-ricavi'!G7</f>
        <v>#DIV/0!</v>
      </c>
      <c r="K7" s="152" t="str">
        <f>'Costi x asset'!L7/'incidenza costi-ricavi'!G7</f>
        <v>#DIV/0!</v>
      </c>
      <c r="L7" s="117">
        <f>'Ricavi Gruppo x asset'!F8</f>
        <v>0</v>
      </c>
      <c r="M7" s="149" t="str">
        <f>'Costi x asset'!D7/'incidenza costi-ricavi'!L7</f>
        <v>#DIV/0!</v>
      </c>
      <c r="N7" s="150" t="str">
        <f>'Costi x asset'!G7/'incidenza costi-ricavi'!L7</f>
        <v>#DIV/0!</v>
      </c>
      <c r="O7" s="151" t="str">
        <f>'Costi x asset'!J7/'incidenza costi-ricavi'!L7</f>
        <v>#DIV/0!</v>
      </c>
      <c r="P7" s="152" t="str">
        <f>'Costi x asset'!M7/'incidenza costi-ricavi'!L7</f>
        <v>#DIV/0!</v>
      </c>
      <c r="Q7" s="138"/>
      <c r="R7" s="148" t="s">
        <v>13</v>
      </c>
      <c r="S7" s="117" t="str">
        <f>'Ricavi Gruppo x asset'!#REF!</f>
        <v>#ERROR!</v>
      </c>
      <c r="T7" s="149" t="str">
        <f>'Costi x asset'!B43/S7</f>
        <v>#ERROR!</v>
      </c>
      <c r="U7" s="150" t="str">
        <f>'Costi x asset'!E43/S7</f>
        <v>#ERROR!</v>
      </c>
      <c r="V7" s="151" t="str">
        <f>'Costi x asset'!H43/S7</f>
        <v>#ERROR!</v>
      </c>
      <c r="W7" s="152" t="str">
        <f>'Costi x asset'!K43/S7</f>
        <v>#ERROR!</v>
      </c>
      <c r="X7" s="117" t="str">
        <f>'Ricavi Gruppo x asset'!#REF!</f>
        <v>#ERROR!</v>
      </c>
      <c r="Y7" s="149" t="str">
        <f>'Costi x asset'!C43/X7</f>
        <v>#ERROR!</v>
      </c>
      <c r="Z7" s="150" t="str">
        <f>'Costi x asset'!F43/X7</f>
        <v>#ERROR!</v>
      </c>
      <c r="AA7" s="151" t="str">
        <f>'Costi x asset'!I43/X7</f>
        <v>#ERROR!</v>
      </c>
      <c r="AB7" s="152" t="str">
        <f>'Costi x asset'!L43/X7</f>
        <v>#ERROR!</v>
      </c>
      <c r="AC7" s="117" t="str">
        <f>'Ricavi Gruppo x asset'!#REF!</f>
        <v>#ERROR!</v>
      </c>
      <c r="AD7" s="149" t="str">
        <f>'Costi x asset'!D43/AC7</f>
        <v>#ERROR!</v>
      </c>
      <c r="AE7" s="150" t="str">
        <f>'Costi x asset'!G43/AC7</f>
        <v>#ERROR!</v>
      </c>
      <c r="AF7" s="151" t="str">
        <f>'Costi x asset'!J43/AC7</f>
        <v>#ERROR!</v>
      </c>
      <c r="AG7" s="152" t="str">
        <f>'Costi x asset'!M43/AC7</f>
        <v>#ERROR!</v>
      </c>
    </row>
    <row r="8" ht="13.5" customHeight="1">
      <c r="A8" s="148" t="s">
        <v>14</v>
      </c>
      <c r="B8" s="117">
        <f>'Ricavi Gruppo x asset'!B10</f>
        <v>0</v>
      </c>
      <c r="C8" s="149" t="str">
        <f>'Costi x asset'!B8/'incidenza costi-ricavi'!B8</f>
        <v>#DIV/0!</v>
      </c>
      <c r="D8" s="150" t="str">
        <f>'Costi x asset'!E8/'incidenza costi-ricavi'!B8</f>
        <v>#DIV/0!</v>
      </c>
      <c r="E8" s="151" t="str">
        <f>'Costi x asset'!H8/B8</f>
        <v>#DIV/0!</v>
      </c>
      <c r="F8" s="152" t="str">
        <f>'Costi x asset'!K8/B8</f>
        <v>#DIV/0!</v>
      </c>
      <c r="G8" s="117">
        <f>'Ricavi Gruppo x asset'!D10</f>
        <v>0</v>
      </c>
      <c r="H8" s="149" t="str">
        <f>'Costi x asset'!C8/'incidenza costi-ricavi'!G8</f>
        <v>#DIV/0!</v>
      </c>
      <c r="I8" s="150" t="str">
        <f>'Costi x asset'!F8/'incidenza costi-ricavi'!G8</f>
        <v>#DIV/0!</v>
      </c>
      <c r="J8" s="151" t="str">
        <f>'Costi x asset'!I8/'incidenza costi-ricavi'!G8</f>
        <v>#DIV/0!</v>
      </c>
      <c r="K8" s="152" t="str">
        <f>'Costi x asset'!L8/'incidenza costi-ricavi'!G8</f>
        <v>#DIV/0!</v>
      </c>
      <c r="L8" s="117">
        <f>'Ricavi Gruppo x asset'!F10</f>
        <v>0</v>
      </c>
      <c r="M8" s="149" t="str">
        <f>'Costi x asset'!D8/'incidenza costi-ricavi'!L8</f>
        <v>#DIV/0!</v>
      </c>
      <c r="N8" s="150" t="str">
        <f>'Costi x asset'!G8/'incidenza costi-ricavi'!L8</f>
        <v>#DIV/0!</v>
      </c>
      <c r="O8" s="151" t="str">
        <f>'Costi x asset'!J8/'incidenza costi-ricavi'!L8</f>
        <v>#DIV/0!</v>
      </c>
      <c r="P8" s="152" t="str">
        <f>'Costi x asset'!M8/'incidenza costi-ricavi'!L8</f>
        <v>#DIV/0!</v>
      </c>
      <c r="Q8" s="138"/>
      <c r="R8" s="148" t="s">
        <v>14</v>
      </c>
      <c r="S8" s="117" t="str">
        <f>'Ricavi Gruppo x asset'!#REF!</f>
        <v>#ERROR!</v>
      </c>
      <c r="T8" s="149" t="str">
        <f>'Costi x asset'!B44/S8</f>
        <v>#ERROR!</v>
      </c>
      <c r="U8" s="150" t="str">
        <f>'Costi x asset'!E44/S8</f>
        <v>#ERROR!</v>
      </c>
      <c r="V8" s="151" t="str">
        <f>'Costi x asset'!H44/S8</f>
        <v>#ERROR!</v>
      </c>
      <c r="W8" s="152" t="str">
        <f>'Costi x asset'!K44/S8</f>
        <v>#ERROR!</v>
      </c>
      <c r="X8" s="117" t="str">
        <f>'Ricavi Gruppo x asset'!#REF!</f>
        <v>#ERROR!</v>
      </c>
      <c r="Y8" s="149" t="str">
        <f>'Costi x asset'!C44/X8</f>
        <v>#ERROR!</v>
      </c>
      <c r="Z8" s="150" t="str">
        <f>'Costi x asset'!F44/X8</f>
        <v>#ERROR!</v>
      </c>
      <c r="AA8" s="151" t="str">
        <f>'Costi x asset'!I44/X8</f>
        <v>#ERROR!</v>
      </c>
      <c r="AB8" s="152" t="str">
        <f>'Costi x asset'!L44/X8</f>
        <v>#ERROR!</v>
      </c>
      <c r="AC8" s="117" t="str">
        <f>'Ricavi Gruppo x asset'!#REF!</f>
        <v>#ERROR!</v>
      </c>
      <c r="AD8" s="149" t="str">
        <f>'Costi x asset'!D44/AC8</f>
        <v>#ERROR!</v>
      </c>
      <c r="AE8" s="150" t="str">
        <f>'Costi x asset'!G44/AC8</f>
        <v>#ERROR!</v>
      </c>
      <c r="AF8" s="151" t="str">
        <f>'Costi x asset'!J44/AC8</f>
        <v>#ERROR!</v>
      </c>
      <c r="AG8" s="152" t="str">
        <f>'Costi x asset'!M44/AC8</f>
        <v>#ERROR!</v>
      </c>
    </row>
    <row r="9" ht="13.5" customHeight="1">
      <c r="A9" s="148" t="s">
        <v>15</v>
      </c>
      <c r="B9" s="117">
        <f>'Ricavi Gruppo x asset'!B12</f>
        <v>0</v>
      </c>
      <c r="C9" s="149" t="str">
        <f>'Costi x asset'!B9/'incidenza costi-ricavi'!B9</f>
        <v>#DIV/0!</v>
      </c>
      <c r="D9" s="150" t="str">
        <f>'Costi x asset'!E9/'incidenza costi-ricavi'!B9</f>
        <v>#DIV/0!</v>
      </c>
      <c r="E9" s="151" t="str">
        <f>'Costi x asset'!H9/B9</f>
        <v>#DIV/0!</v>
      </c>
      <c r="F9" s="152" t="str">
        <f>'Costi x asset'!K9/B9</f>
        <v>#DIV/0!</v>
      </c>
      <c r="G9" s="117">
        <f>'Ricavi Gruppo x asset'!D12</f>
        <v>0</v>
      </c>
      <c r="H9" s="149" t="str">
        <f>'Costi x asset'!C9/'incidenza costi-ricavi'!G9</f>
        <v>#DIV/0!</v>
      </c>
      <c r="I9" s="150" t="str">
        <f>'Costi x asset'!F9/'incidenza costi-ricavi'!G9</f>
        <v>#DIV/0!</v>
      </c>
      <c r="J9" s="151" t="str">
        <f>'Costi x asset'!I9/'incidenza costi-ricavi'!G9</f>
        <v>#DIV/0!</v>
      </c>
      <c r="K9" s="152" t="str">
        <f>'Costi x asset'!L9/'incidenza costi-ricavi'!G9</f>
        <v>#DIV/0!</v>
      </c>
      <c r="L9" s="117">
        <f>'Ricavi Gruppo x asset'!F12</f>
        <v>0</v>
      </c>
      <c r="M9" s="149" t="str">
        <f>'Costi x asset'!D9/'incidenza costi-ricavi'!L9</f>
        <v>#DIV/0!</v>
      </c>
      <c r="N9" s="150" t="str">
        <f>'Costi x asset'!G9/'incidenza costi-ricavi'!L9</f>
        <v>#DIV/0!</v>
      </c>
      <c r="O9" s="151" t="str">
        <f>'Costi x asset'!J9/'incidenza costi-ricavi'!L9</f>
        <v>#DIV/0!</v>
      </c>
      <c r="P9" s="152" t="str">
        <f>'Costi x asset'!M9/'incidenza costi-ricavi'!L9</f>
        <v>#DIV/0!</v>
      </c>
      <c r="Q9" s="138"/>
      <c r="R9" s="148" t="s">
        <v>15</v>
      </c>
      <c r="S9" s="117" t="str">
        <f>'Ricavi Gruppo x asset'!#REF!</f>
        <v>#ERROR!</v>
      </c>
      <c r="T9" s="149" t="str">
        <f>'Costi x asset'!B45/S9</f>
        <v>#ERROR!</v>
      </c>
      <c r="U9" s="150" t="str">
        <f>'Costi x asset'!E45/S9</f>
        <v>#ERROR!</v>
      </c>
      <c r="V9" s="151" t="str">
        <f>'Costi x asset'!H45/S9</f>
        <v>#ERROR!</v>
      </c>
      <c r="W9" s="152" t="str">
        <f>'Costi x asset'!K45/S9</f>
        <v>#ERROR!</v>
      </c>
      <c r="X9" s="117" t="str">
        <f>'Ricavi Gruppo x asset'!#REF!</f>
        <v>#ERROR!</v>
      </c>
      <c r="Y9" s="149" t="str">
        <f>'Costi x asset'!C45/X9</f>
        <v>#ERROR!</v>
      </c>
      <c r="Z9" s="150" t="str">
        <f>'Costi x asset'!F45/X9</f>
        <v>#ERROR!</v>
      </c>
      <c r="AA9" s="151" t="str">
        <f>'Costi x asset'!I45/X9</f>
        <v>#ERROR!</v>
      </c>
      <c r="AB9" s="152" t="str">
        <f>'Costi x asset'!L45/X9</f>
        <v>#ERROR!</v>
      </c>
      <c r="AC9" s="117" t="str">
        <f>'Ricavi Gruppo x asset'!#REF!</f>
        <v>#ERROR!</v>
      </c>
      <c r="AD9" s="149" t="str">
        <f>'Costi x asset'!D45/AC9</f>
        <v>#ERROR!</v>
      </c>
      <c r="AE9" s="150" t="str">
        <f>'Costi x asset'!G45/AC9</f>
        <v>#ERROR!</v>
      </c>
      <c r="AF9" s="151" t="str">
        <f>'Costi x asset'!J45/AC9</f>
        <v>#ERROR!</v>
      </c>
      <c r="AG9" s="152" t="str">
        <f>'Costi x asset'!M45/AC9</f>
        <v>#ERROR!</v>
      </c>
    </row>
    <row r="10" ht="13.5" customHeight="1">
      <c r="A10" s="148" t="s">
        <v>16</v>
      </c>
      <c r="B10" s="117">
        <f>'Ricavi Gruppo x asset'!B14</f>
        <v>0</v>
      </c>
      <c r="C10" s="149" t="str">
        <f>'Costi x asset'!B10/'incidenza costi-ricavi'!B10</f>
        <v>#DIV/0!</v>
      </c>
      <c r="D10" s="150" t="str">
        <f>'Costi x asset'!E10/'incidenza costi-ricavi'!B10</f>
        <v>#DIV/0!</v>
      </c>
      <c r="E10" s="151" t="str">
        <f>'Costi x asset'!H10/B10</f>
        <v>#DIV/0!</v>
      </c>
      <c r="F10" s="152" t="str">
        <f>'Costi x asset'!K10/B10</f>
        <v>#DIV/0!</v>
      </c>
      <c r="G10" s="117">
        <f>'Ricavi Gruppo x asset'!D14</f>
        <v>0</v>
      </c>
      <c r="H10" s="149" t="str">
        <f>'Costi x asset'!C10/'incidenza costi-ricavi'!G10</f>
        <v>#DIV/0!</v>
      </c>
      <c r="I10" s="150" t="str">
        <f>'Costi x asset'!F10/'incidenza costi-ricavi'!G10</f>
        <v>#DIV/0!</v>
      </c>
      <c r="J10" s="151" t="str">
        <f>'Costi x asset'!I10/'incidenza costi-ricavi'!G10</f>
        <v>#DIV/0!</v>
      </c>
      <c r="K10" s="152" t="str">
        <f>'Costi x asset'!L10/'incidenza costi-ricavi'!G10</f>
        <v>#DIV/0!</v>
      </c>
      <c r="L10" s="117">
        <f>'Ricavi Gruppo x asset'!F14</f>
        <v>0</v>
      </c>
      <c r="M10" s="149" t="str">
        <f>'Costi x asset'!D10/'incidenza costi-ricavi'!L10</f>
        <v>#DIV/0!</v>
      </c>
      <c r="N10" s="150" t="str">
        <f>'Costi x asset'!G10/'incidenza costi-ricavi'!L10</f>
        <v>#DIV/0!</v>
      </c>
      <c r="O10" s="151" t="str">
        <f>'Costi x asset'!J10/'incidenza costi-ricavi'!L10</f>
        <v>#DIV/0!</v>
      </c>
      <c r="P10" s="152" t="str">
        <f>'Costi x asset'!M10/'incidenza costi-ricavi'!L10</f>
        <v>#DIV/0!</v>
      </c>
      <c r="Q10" s="138"/>
      <c r="R10" s="148" t="s">
        <v>16</v>
      </c>
      <c r="S10" s="117" t="str">
        <f>'Ricavi Gruppo x asset'!#REF!</f>
        <v>#ERROR!</v>
      </c>
      <c r="T10" s="149" t="str">
        <f>'Costi x asset'!B46/S10</f>
        <v>#ERROR!</v>
      </c>
      <c r="U10" s="150" t="str">
        <f>'Costi x asset'!E46/S10</f>
        <v>#ERROR!</v>
      </c>
      <c r="V10" s="151" t="str">
        <f>'Costi x asset'!H46/S10</f>
        <v>#ERROR!</v>
      </c>
      <c r="W10" s="152" t="str">
        <f>'Costi x asset'!K46/S10</f>
        <v>#ERROR!</v>
      </c>
      <c r="X10" s="117" t="str">
        <f>'Ricavi Gruppo x asset'!#REF!</f>
        <v>#ERROR!</v>
      </c>
      <c r="Y10" s="149" t="str">
        <f>'Costi x asset'!C46/X10</f>
        <v>#ERROR!</v>
      </c>
      <c r="Z10" s="150" t="str">
        <f>'Costi x asset'!F46/X10</f>
        <v>#ERROR!</v>
      </c>
      <c r="AA10" s="151" t="str">
        <f>'Costi x asset'!I46/X10</f>
        <v>#ERROR!</v>
      </c>
      <c r="AB10" s="152" t="str">
        <f>'Costi x asset'!L46/X10</f>
        <v>#ERROR!</v>
      </c>
      <c r="AC10" s="117" t="str">
        <f>'Ricavi Gruppo x asset'!#REF!</f>
        <v>#ERROR!</v>
      </c>
      <c r="AD10" s="149" t="str">
        <f>'Costi x asset'!D46/AC10</f>
        <v>#ERROR!</v>
      </c>
      <c r="AE10" s="150" t="str">
        <f>'Costi x asset'!G46/AC10</f>
        <v>#ERROR!</v>
      </c>
      <c r="AF10" s="151" t="str">
        <f>'Costi x asset'!J46/AC10</f>
        <v>#ERROR!</v>
      </c>
      <c r="AG10" s="152" t="str">
        <f>'Costi x asset'!M46/AC10</f>
        <v>#ERROR!</v>
      </c>
    </row>
    <row r="11" ht="13.5" customHeight="1">
      <c r="A11" s="148" t="s">
        <v>17</v>
      </c>
      <c r="B11" s="117">
        <f>'Ricavi Gruppo x asset'!B16</f>
        <v>0</v>
      </c>
      <c r="C11" s="149" t="str">
        <f>'Costi x asset'!B11/'incidenza costi-ricavi'!B11</f>
        <v>#DIV/0!</v>
      </c>
      <c r="D11" s="150" t="str">
        <f>'Costi x asset'!E11/'incidenza costi-ricavi'!B11</f>
        <v>#DIV/0!</v>
      </c>
      <c r="E11" s="151" t="str">
        <f>'Costi x asset'!H11/B11</f>
        <v>#DIV/0!</v>
      </c>
      <c r="F11" s="152" t="str">
        <f>'Costi x asset'!K11/B11</f>
        <v>#DIV/0!</v>
      </c>
      <c r="G11" s="117">
        <f>'Ricavi Gruppo x asset'!D16</f>
        <v>0</v>
      </c>
      <c r="H11" s="149" t="str">
        <f>'Costi x asset'!C11/'incidenza costi-ricavi'!G11</f>
        <v>#DIV/0!</v>
      </c>
      <c r="I11" s="150" t="str">
        <f>'Costi x asset'!F11/'incidenza costi-ricavi'!G11</f>
        <v>#DIV/0!</v>
      </c>
      <c r="J11" s="151" t="str">
        <f>'Costi x asset'!I11/'incidenza costi-ricavi'!G11</f>
        <v>#DIV/0!</v>
      </c>
      <c r="K11" s="152" t="str">
        <f>'Costi x asset'!L11/'incidenza costi-ricavi'!G11</f>
        <v>#DIV/0!</v>
      </c>
      <c r="L11" s="117">
        <f>'Ricavi Gruppo x asset'!F16</f>
        <v>0</v>
      </c>
      <c r="M11" s="149" t="str">
        <f>'Costi x asset'!D11/'incidenza costi-ricavi'!L11</f>
        <v>#DIV/0!</v>
      </c>
      <c r="N11" s="150" t="str">
        <f>'Costi x asset'!G11/'incidenza costi-ricavi'!L11</f>
        <v>#DIV/0!</v>
      </c>
      <c r="O11" s="151" t="str">
        <f>'Costi x asset'!J11/'incidenza costi-ricavi'!L11</f>
        <v>#DIV/0!</v>
      </c>
      <c r="P11" s="152" t="str">
        <f>'Costi x asset'!M11/'incidenza costi-ricavi'!L11</f>
        <v>#DIV/0!</v>
      </c>
      <c r="Q11" s="138"/>
      <c r="R11" s="148" t="s">
        <v>17</v>
      </c>
      <c r="S11" s="117" t="str">
        <f>'Ricavi Gruppo x asset'!#REF!</f>
        <v>#ERROR!</v>
      </c>
      <c r="T11" s="149" t="str">
        <f>'Costi x asset'!B47/S11</f>
        <v>#ERROR!</v>
      </c>
      <c r="U11" s="150" t="str">
        <f>'Costi x asset'!E47/S11</f>
        <v>#ERROR!</v>
      </c>
      <c r="V11" s="151" t="str">
        <f>'Costi x asset'!H47/S11</f>
        <v>#ERROR!</v>
      </c>
      <c r="W11" s="152" t="str">
        <f>'Costi x asset'!K47/S11</f>
        <v>#ERROR!</v>
      </c>
      <c r="X11" s="117" t="str">
        <f>'Ricavi Gruppo x asset'!#REF!</f>
        <v>#ERROR!</v>
      </c>
      <c r="Y11" s="149" t="str">
        <f>'Costi x asset'!C47/X11</f>
        <v>#ERROR!</v>
      </c>
      <c r="Z11" s="150" t="str">
        <f>'Costi x asset'!F47/X11</f>
        <v>#ERROR!</v>
      </c>
      <c r="AA11" s="151" t="str">
        <f>'Costi x asset'!I47/X11</f>
        <v>#ERROR!</v>
      </c>
      <c r="AB11" s="152" t="str">
        <f>'Costi x asset'!L47/X11</f>
        <v>#ERROR!</v>
      </c>
      <c r="AC11" s="117" t="str">
        <f>'Ricavi Gruppo x asset'!#REF!</f>
        <v>#ERROR!</v>
      </c>
      <c r="AD11" s="149" t="str">
        <f>'Costi x asset'!D47/AC11</f>
        <v>#ERROR!</v>
      </c>
      <c r="AE11" s="150" t="str">
        <f>'Costi x asset'!G47/AC11</f>
        <v>#ERROR!</v>
      </c>
      <c r="AF11" s="151" t="str">
        <f>'Costi x asset'!J47/AC11</f>
        <v>#ERROR!</v>
      </c>
      <c r="AG11" s="152" t="str">
        <f>'Costi x asset'!M47/AC11</f>
        <v>#ERROR!</v>
      </c>
    </row>
    <row r="12" ht="13.5" customHeight="1">
      <c r="A12" s="148" t="s">
        <v>18</v>
      </c>
      <c r="B12" s="117">
        <f>'Ricavi Gruppo x asset'!B18</f>
        <v>0</v>
      </c>
      <c r="C12" s="149" t="str">
        <f>'Costi x asset'!B12/'incidenza costi-ricavi'!B12</f>
        <v>#DIV/0!</v>
      </c>
      <c r="D12" s="150" t="str">
        <f>'Costi x asset'!E12/'incidenza costi-ricavi'!B12</f>
        <v>#DIV/0!</v>
      </c>
      <c r="E12" s="151" t="str">
        <f>'Costi x asset'!H12/B12</f>
        <v>#DIV/0!</v>
      </c>
      <c r="F12" s="152" t="str">
        <f>'Costi x asset'!K12/B12</f>
        <v>#DIV/0!</v>
      </c>
      <c r="G12" s="117">
        <f>'Ricavi Gruppo x asset'!D18</f>
        <v>0</v>
      </c>
      <c r="H12" s="149" t="str">
        <f>'Costi x asset'!C12/'incidenza costi-ricavi'!G12</f>
        <v>#DIV/0!</v>
      </c>
      <c r="I12" s="150" t="str">
        <f>'Costi x asset'!F12/'incidenza costi-ricavi'!G12</f>
        <v>#DIV/0!</v>
      </c>
      <c r="J12" s="151" t="str">
        <f>'Costi x asset'!I12/'incidenza costi-ricavi'!G12</f>
        <v>#DIV/0!</v>
      </c>
      <c r="K12" s="152" t="str">
        <f>'Costi x asset'!L12/'incidenza costi-ricavi'!G12</f>
        <v>#DIV/0!</v>
      </c>
      <c r="L12" s="117">
        <f>'Ricavi Gruppo x asset'!F18</f>
        <v>0</v>
      </c>
      <c r="M12" s="149" t="str">
        <f>'Costi x asset'!D12/'incidenza costi-ricavi'!L12</f>
        <v>#DIV/0!</v>
      </c>
      <c r="N12" s="150" t="str">
        <f>'Costi x asset'!G12/'incidenza costi-ricavi'!L12</f>
        <v>#DIV/0!</v>
      </c>
      <c r="O12" s="151" t="str">
        <f>'Costi x asset'!J12/'incidenza costi-ricavi'!L12</f>
        <v>#DIV/0!</v>
      </c>
      <c r="P12" s="152" t="str">
        <f>'Costi x asset'!M12/'incidenza costi-ricavi'!L12</f>
        <v>#DIV/0!</v>
      </c>
      <c r="Q12" s="138"/>
      <c r="R12" s="148" t="s">
        <v>18</v>
      </c>
      <c r="S12" s="117" t="str">
        <f>'Ricavi Gruppo x asset'!#REF!</f>
        <v>#ERROR!</v>
      </c>
      <c r="T12" s="149" t="str">
        <f>'Costi x asset'!B48/S12</f>
        <v>#ERROR!</v>
      </c>
      <c r="U12" s="150" t="str">
        <f>'Costi x asset'!E48/S12</f>
        <v>#ERROR!</v>
      </c>
      <c r="V12" s="151" t="str">
        <f>'Costi x asset'!H48/S12</f>
        <v>#ERROR!</v>
      </c>
      <c r="W12" s="152" t="str">
        <f>'Costi x asset'!K48/S12</f>
        <v>#ERROR!</v>
      </c>
      <c r="X12" s="117" t="str">
        <f>'Ricavi Gruppo x asset'!#REF!</f>
        <v>#ERROR!</v>
      </c>
      <c r="Y12" s="149" t="str">
        <f>'Costi x asset'!C48/X12</f>
        <v>#ERROR!</v>
      </c>
      <c r="Z12" s="150" t="str">
        <f>'Costi x asset'!F48/X12</f>
        <v>#ERROR!</v>
      </c>
      <c r="AA12" s="151" t="str">
        <f>'Costi x asset'!I48/X12</f>
        <v>#ERROR!</v>
      </c>
      <c r="AB12" s="152" t="str">
        <f>'Costi x asset'!L48/X12</f>
        <v>#ERROR!</v>
      </c>
      <c r="AC12" s="117" t="str">
        <f>'Ricavi Gruppo x asset'!#REF!</f>
        <v>#ERROR!</v>
      </c>
      <c r="AD12" s="149" t="str">
        <f>'Costi x asset'!D48/AC12</f>
        <v>#ERROR!</v>
      </c>
      <c r="AE12" s="150" t="str">
        <f>'Costi x asset'!G48/AC12</f>
        <v>#ERROR!</v>
      </c>
      <c r="AF12" s="151" t="str">
        <f>'Costi x asset'!J48/AC12</f>
        <v>#ERROR!</v>
      </c>
      <c r="AG12" s="152" t="str">
        <f>'Costi x asset'!M48/AC12</f>
        <v>#ERROR!</v>
      </c>
    </row>
    <row r="13" ht="13.5" customHeight="1">
      <c r="A13" s="148" t="s">
        <v>19</v>
      </c>
      <c r="B13" s="117">
        <f>'Ricavi Gruppo x asset'!B20</f>
        <v>0</v>
      </c>
      <c r="C13" s="149" t="str">
        <f>'Costi x asset'!B13/'incidenza costi-ricavi'!B13</f>
        <v>#DIV/0!</v>
      </c>
      <c r="D13" s="150" t="str">
        <f>'Costi x asset'!E13/'incidenza costi-ricavi'!B13</f>
        <v>#DIV/0!</v>
      </c>
      <c r="E13" s="151" t="str">
        <f>'Costi x asset'!H13/B13</f>
        <v>#DIV/0!</v>
      </c>
      <c r="F13" s="152" t="str">
        <f>'Costi x asset'!K13/B13</f>
        <v>#DIV/0!</v>
      </c>
      <c r="G13" s="117">
        <f>'Ricavi Gruppo x asset'!D20</f>
        <v>0</v>
      </c>
      <c r="H13" s="149" t="str">
        <f>'Costi x asset'!C13/'incidenza costi-ricavi'!G13</f>
        <v>#DIV/0!</v>
      </c>
      <c r="I13" s="150" t="str">
        <f>'Costi x asset'!F13/'incidenza costi-ricavi'!G13</f>
        <v>#DIV/0!</v>
      </c>
      <c r="J13" s="151" t="str">
        <f>'Costi x asset'!I13/'incidenza costi-ricavi'!G13</f>
        <v>#DIV/0!</v>
      </c>
      <c r="K13" s="152" t="str">
        <f>'Costi x asset'!L13/'incidenza costi-ricavi'!G13</f>
        <v>#DIV/0!</v>
      </c>
      <c r="L13" s="117">
        <f>'Ricavi Gruppo x asset'!F20</f>
        <v>0</v>
      </c>
      <c r="M13" s="149" t="str">
        <f>'Costi x asset'!D13/'incidenza costi-ricavi'!L13</f>
        <v>#DIV/0!</v>
      </c>
      <c r="N13" s="150" t="str">
        <f>'Costi x asset'!G13/'incidenza costi-ricavi'!L13</f>
        <v>#DIV/0!</v>
      </c>
      <c r="O13" s="151" t="str">
        <f>'Costi x asset'!J13/'incidenza costi-ricavi'!L13</f>
        <v>#DIV/0!</v>
      </c>
      <c r="P13" s="152" t="str">
        <f>'Costi x asset'!M13/'incidenza costi-ricavi'!L13</f>
        <v>#DIV/0!</v>
      </c>
      <c r="Q13" s="138"/>
      <c r="R13" s="148" t="s">
        <v>19</v>
      </c>
      <c r="S13" s="117" t="str">
        <f>'Ricavi Gruppo x asset'!#REF!</f>
        <v>#ERROR!</v>
      </c>
      <c r="T13" s="149" t="str">
        <f>'Costi x asset'!B49/S13</f>
        <v>#ERROR!</v>
      </c>
      <c r="U13" s="150" t="str">
        <f>'Costi x asset'!E49/S13</f>
        <v>#ERROR!</v>
      </c>
      <c r="V13" s="151" t="str">
        <f>'Costi x asset'!H49/S13</f>
        <v>#ERROR!</v>
      </c>
      <c r="W13" s="152" t="str">
        <f>'Costi x asset'!K49/S13</f>
        <v>#ERROR!</v>
      </c>
      <c r="X13" s="117" t="str">
        <f>'Ricavi Gruppo x asset'!#REF!</f>
        <v>#ERROR!</v>
      </c>
      <c r="Y13" s="149" t="str">
        <f>'Costi x asset'!C49/X13</f>
        <v>#ERROR!</v>
      </c>
      <c r="Z13" s="150" t="str">
        <f>'Costi x asset'!F49/X13</f>
        <v>#ERROR!</v>
      </c>
      <c r="AA13" s="151" t="str">
        <f>'Costi x asset'!I49/X13</f>
        <v>#ERROR!</v>
      </c>
      <c r="AB13" s="152" t="str">
        <f>'Costi x asset'!L49/X13</f>
        <v>#ERROR!</v>
      </c>
      <c r="AC13" s="117" t="str">
        <f>'Ricavi Gruppo x asset'!#REF!</f>
        <v>#ERROR!</v>
      </c>
      <c r="AD13" s="149" t="str">
        <f>'Costi x asset'!D49/AC13</f>
        <v>#ERROR!</v>
      </c>
      <c r="AE13" s="150" t="str">
        <f>'Costi x asset'!G49/AC13</f>
        <v>#ERROR!</v>
      </c>
      <c r="AF13" s="151" t="str">
        <f>'Costi x asset'!J49/AC13</f>
        <v>#ERROR!</v>
      </c>
      <c r="AG13" s="152" t="str">
        <f>'Costi x asset'!M49/AC13</f>
        <v>#ERROR!</v>
      </c>
    </row>
    <row r="14" ht="13.5" customHeight="1">
      <c r="A14" s="148" t="s">
        <v>20</v>
      </c>
      <c r="B14" s="117">
        <f>'Ricavi Gruppo x asset'!B22</f>
        <v>0</v>
      </c>
      <c r="C14" s="149" t="str">
        <f>'Costi x asset'!B14/'incidenza costi-ricavi'!B14</f>
        <v>#DIV/0!</v>
      </c>
      <c r="D14" s="150" t="str">
        <f>'Costi x asset'!E14/'incidenza costi-ricavi'!B14</f>
        <v>#DIV/0!</v>
      </c>
      <c r="E14" s="151" t="str">
        <f>'Costi x asset'!H14/B14</f>
        <v>#DIV/0!</v>
      </c>
      <c r="F14" s="152" t="str">
        <f>'Costi x asset'!K14/B14</f>
        <v>#DIV/0!</v>
      </c>
      <c r="G14" s="117">
        <f>'Ricavi Gruppo x asset'!D22</f>
        <v>0</v>
      </c>
      <c r="H14" s="149" t="str">
        <f>'Costi x asset'!C14/'incidenza costi-ricavi'!G14</f>
        <v>#DIV/0!</v>
      </c>
      <c r="I14" s="150" t="str">
        <f>'Costi x asset'!F14/'incidenza costi-ricavi'!G14</f>
        <v>#DIV/0!</v>
      </c>
      <c r="J14" s="151" t="str">
        <f>'Costi x asset'!I14/'incidenza costi-ricavi'!G14</f>
        <v>#DIV/0!</v>
      </c>
      <c r="K14" s="152" t="str">
        <f>'Costi x asset'!L14/'incidenza costi-ricavi'!G14</f>
        <v>#DIV/0!</v>
      </c>
      <c r="L14" s="117">
        <f>'Ricavi Gruppo x asset'!F22</f>
        <v>0</v>
      </c>
      <c r="M14" s="149" t="str">
        <f>'Costi x asset'!D14/'incidenza costi-ricavi'!L14</f>
        <v>#DIV/0!</v>
      </c>
      <c r="N14" s="150" t="str">
        <f>'Costi x asset'!G14/'incidenza costi-ricavi'!L14</f>
        <v>#DIV/0!</v>
      </c>
      <c r="O14" s="151" t="str">
        <f>'Costi x asset'!J14/'incidenza costi-ricavi'!L14</f>
        <v>#DIV/0!</v>
      </c>
      <c r="P14" s="152" t="str">
        <f>'Costi x asset'!M14/'incidenza costi-ricavi'!L14</f>
        <v>#DIV/0!</v>
      </c>
      <c r="Q14" s="138"/>
      <c r="R14" s="148" t="s">
        <v>20</v>
      </c>
      <c r="S14" s="117" t="str">
        <f>'Ricavi Gruppo x asset'!#REF!</f>
        <v>#ERROR!</v>
      </c>
      <c r="T14" s="149" t="str">
        <f>'Costi x asset'!B50/S14</f>
        <v>#ERROR!</v>
      </c>
      <c r="U14" s="150" t="str">
        <f>'Costi x asset'!E50/S14</f>
        <v>#ERROR!</v>
      </c>
      <c r="V14" s="151" t="str">
        <f>'Costi x asset'!H50/S14</f>
        <v>#ERROR!</v>
      </c>
      <c r="W14" s="152" t="str">
        <f>'Costi x asset'!K50/S14</f>
        <v>#ERROR!</v>
      </c>
      <c r="X14" s="117" t="str">
        <f>'Ricavi Gruppo x asset'!#REF!</f>
        <v>#ERROR!</v>
      </c>
      <c r="Y14" s="149" t="str">
        <f>'Costi x asset'!C50/X14</f>
        <v>#ERROR!</v>
      </c>
      <c r="Z14" s="150" t="str">
        <f>'Costi x asset'!F50/X14</f>
        <v>#ERROR!</v>
      </c>
      <c r="AA14" s="151" t="str">
        <f>'Costi x asset'!I50/X14</f>
        <v>#ERROR!</v>
      </c>
      <c r="AB14" s="152" t="str">
        <f>'Costi x asset'!L50/X14</f>
        <v>#ERROR!</v>
      </c>
      <c r="AC14" s="117" t="str">
        <f>'Ricavi Gruppo x asset'!#REF!</f>
        <v>#ERROR!</v>
      </c>
      <c r="AD14" s="149" t="str">
        <f>'Costi x asset'!D50/AC14</f>
        <v>#ERROR!</v>
      </c>
      <c r="AE14" s="150" t="str">
        <f>'Costi x asset'!G50/AC14</f>
        <v>#ERROR!</v>
      </c>
      <c r="AF14" s="151" t="str">
        <f>'Costi x asset'!J50/AC14</f>
        <v>#ERROR!</v>
      </c>
      <c r="AG14" s="152" t="str">
        <f>'Costi x asset'!M50/AC14</f>
        <v>#ERROR!</v>
      </c>
    </row>
    <row r="15" ht="13.5" customHeight="1">
      <c r="A15" s="148" t="s">
        <v>21</v>
      </c>
      <c r="B15" s="117">
        <f>'Ricavi Gruppo x asset'!B24</f>
        <v>0</v>
      </c>
      <c r="C15" s="149" t="str">
        <f>'Costi x asset'!B15/'incidenza costi-ricavi'!B15</f>
        <v>#DIV/0!</v>
      </c>
      <c r="D15" s="150" t="str">
        <f>'Costi x asset'!E15/'incidenza costi-ricavi'!B15</f>
        <v>#DIV/0!</v>
      </c>
      <c r="E15" s="151" t="str">
        <f>'Costi x asset'!H15/B15</f>
        <v>#DIV/0!</v>
      </c>
      <c r="F15" s="152" t="str">
        <f>'Costi x asset'!K15/B15</f>
        <v>#DIV/0!</v>
      </c>
      <c r="G15" s="117">
        <f>'Ricavi Gruppo x asset'!D24</f>
        <v>0</v>
      </c>
      <c r="H15" s="149" t="str">
        <f>'Costi x asset'!C15/'incidenza costi-ricavi'!G15</f>
        <v>#DIV/0!</v>
      </c>
      <c r="I15" s="150" t="str">
        <f>'Costi x asset'!F15/'incidenza costi-ricavi'!G15</f>
        <v>#DIV/0!</v>
      </c>
      <c r="J15" s="151" t="str">
        <f>'Costi x asset'!I15/'incidenza costi-ricavi'!G15</f>
        <v>#DIV/0!</v>
      </c>
      <c r="K15" s="152" t="str">
        <f>'Costi x asset'!L15/'incidenza costi-ricavi'!G15</f>
        <v>#DIV/0!</v>
      </c>
      <c r="L15" s="117">
        <f>'Ricavi Gruppo x asset'!F24</f>
        <v>0</v>
      </c>
      <c r="M15" s="149" t="str">
        <f>'Costi x asset'!D15/'incidenza costi-ricavi'!L15</f>
        <v>#DIV/0!</v>
      </c>
      <c r="N15" s="150" t="str">
        <f>'Costi x asset'!G15/'incidenza costi-ricavi'!L15</f>
        <v>#DIV/0!</v>
      </c>
      <c r="O15" s="151" t="str">
        <f>'Costi x asset'!J15/'incidenza costi-ricavi'!L15</f>
        <v>#DIV/0!</v>
      </c>
      <c r="P15" s="152" t="str">
        <f>'Costi x asset'!M15/'incidenza costi-ricavi'!L15</f>
        <v>#DIV/0!</v>
      </c>
      <c r="Q15" s="138"/>
      <c r="R15" s="148" t="s">
        <v>21</v>
      </c>
      <c r="S15" s="117" t="str">
        <f>'Ricavi Gruppo x asset'!#REF!</f>
        <v>#ERROR!</v>
      </c>
      <c r="T15" s="149" t="str">
        <f>'Costi x asset'!B51/S15</f>
        <v>#ERROR!</v>
      </c>
      <c r="U15" s="150" t="str">
        <f>'Costi x asset'!E51/S15</f>
        <v>#ERROR!</v>
      </c>
      <c r="V15" s="151" t="str">
        <f>'Costi x asset'!H51/S15</f>
        <v>#ERROR!</v>
      </c>
      <c r="W15" s="152" t="str">
        <f>'Costi x asset'!K51/S15</f>
        <v>#ERROR!</v>
      </c>
      <c r="X15" s="117" t="str">
        <f>'Ricavi Gruppo x asset'!#REF!</f>
        <v>#ERROR!</v>
      </c>
      <c r="Y15" s="149" t="str">
        <f>'Costi x asset'!C51/X15</f>
        <v>#ERROR!</v>
      </c>
      <c r="Z15" s="150" t="str">
        <f>'Costi x asset'!F51/X15</f>
        <v>#ERROR!</v>
      </c>
      <c r="AA15" s="151" t="str">
        <f>'Costi x asset'!I51/X15</f>
        <v>#ERROR!</v>
      </c>
      <c r="AB15" s="152" t="str">
        <f>'Costi x asset'!L51/X15</f>
        <v>#ERROR!</v>
      </c>
      <c r="AC15" s="117" t="str">
        <f>'Ricavi Gruppo x asset'!#REF!</f>
        <v>#ERROR!</v>
      </c>
      <c r="AD15" s="149" t="str">
        <f>'Costi x asset'!D51/AC15</f>
        <v>#ERROR!</v>
      </c>
      <c r="AE15" s="150" t="str">
        <f>'Costi x asset'!G51/AC15</f>
        <v>#ERROR!</v>
      </c>
      <c r="AF15" s="151" t="str">
        <f>'Costi x asset'!J51/AC15</f>
        <v>#ERROR!</v>
      </c>
      <c r="AG15" s="152" t="str">
        <f>'Costi x asset'!M51/AC15</f>
        <v>#ERROR!</v>
      </c>
    </row>
    <row r="16" ht="13.5" customHeight="1">
      <c r="A16" s="33" t="s">
        <v>22</v>
      </c>
      <c r="B16" s="153">
        <f>SUM(B4:B15)</f>
        <v>0</v>
      </c>
      <c r="C16" s="149" t="str">
        <f>'Costi x asset'!B16/'incidenza costi-ricavi'!B16</f>
        <v>#DIV/0!</v>
      </c>
      <c r="D16" s="150" t="str">
        <f>'Costi x asset'!E16/B16</f>
        <v>#DIV/0!</v>
      </c>
      <c r="E16" s="151" t="str">
        <f>'Costi x asset'!H16/'incidenza costi-ricavi'!B16</f>
        <v>#DIV/0!</v>
      </c>
      <c r="F16" s="152" t="str">
        <f>'Costi x asset'!K16/'incidenza costi-ricavi'!B16</f>
        <v>#DIV/0!</v>
      </c>
      <c r="G16" s="153">
        <f>SUM(G4:G15)</f>
        <v>0</v>
      </c>
      <c r="H16" s="149" t="str">
        <f>'Costi x asset'!C16/'incidenza costi-ricavi'!G16</f>
        <v>#DIV/0!</v>
      </c>
      <c r="I16" s="150" t="str">
        <f>'Costi x asset'!F16/'incidenza costi-ricavi'!G16</f>
        <v>#DIV/0!</v>
      </c>
      <c r="J16" s="151" t="str">
        <f>'Costi x asset'!I16/'incidenza costi-ricavi'!G16</f>
        <v>#DIV/0!</v>
      </c>
      <c r="K16" s="152" t="str">
        <f>'Costi x asset'!L16/'incidenza costi-ricavi'!G16</f>
        <v>#DIV/0!</v>
      </c>
      <c r="L16" s="153">
        <f>SUM(L4:L15)</f>
        <v>0</v>
      </c>
      <c r="M16" s="149" t="str">
        <f>'Costi x asset'!D16/'incidenza costi-ricavi'!L16</f>
        <v>#DIV/0!</v>
      </c>
      <c r="N16" s="150" t="str">
        <f>'Costi x asset'!G16/'incidenza costi-ricavi'!L16</f>
        <v>#DIV/0!</v>
      </c>
      <c r="O16" s="151" t="str">
        <f>'Costi x asset'!J16/'incidenza costi-ricavi'!L16</f>
        <v>#DIV/0!</v>
      </c>
      <c r="P16" s="152" t="str">
        <f>'Costi x asset'!M16/'incidenza costi-ricavi'!L16</f>
        <v>#DIV/0!</v>
      </c>
      <c r="Q16" s="138"/>
      <c r="R16" s="33" t="s">
        <v>22</v>
      </c>
      <c r="S16" s="153" t="str">
        <f>SUM(S4:S15)</f>
        <v>#ERROR!</v>
      </c>
      <c r="T16" s="149" t="str">
        <f>'Costi x asset'!B52/S16</f>
        <v>#ERROR!</v>
      </c>
      <c r="U16" s="150" t="str">
        <f>'Costi x asset'!E52/S16</f>
        <v>#ERROR!</v>
      </c>
      <c r="V16" s="151" t="str">
        <f>'Costi x asset'!H52/S16</f>
        <v>#ERROR!</v>
      </c>
      <c r="W16" s="152" t="str">
        <f>'Costi x asset'!K52/S16</f>
        <v>#ERROR!</v>
      </c>
      <c r="X16" s="153" t="str">
        <f>SUM(X4:X15)</f>
        <v>#ERROR!</v>
      </c>
      <c r="Y16" s="149" t="str">
        <f>'Costi x asset'!C52/X16</f>
        <v>#ERROR!</v>
      </c>
      <c r="Z16" s="150" t="str">
        <f>'Costi x asset'!F52/X16</f>
        <v>#ERROR!</v>
      </c>
      <c r="AA16" s="151" t="str">
        <f>'Costi x asset'!I52/X16</f>
        <v>#ERROR!</v>
      </c>
      <c r="AB16" s="152" t="str">
        <f>'Costi x asset'!L52/X16</f>
        <v>#ERROR!</v>
      </c>
      <c r="AC16" s="153" t="str">
        <f>SUM(AC4:AC15)</f>
        <v>#ERROR!</v>
      </c>
      <c r="AD16" s="149" t="str">
        <f>'Costi x asset'!D52/AC16</f>
        <v>#ERROR!</v>
      </c>
      <c r="AE16" s="150" t="str">
        <f>'Costi x asset'!G52/AC16</f>
        <v>#ERROR!</v>
      </c>
      <c r="AF16" s="151" t="str">
        <f>'Costi x asset'!J52/AC16</f>
        <v>#ERROR!</v>
      </c>
      <c r="AG16" s="152" t="str">
        <f>'Costi x asset'!M52/AC16</f>
        <v>#ERROR!</v>
      </c>
    </row>
    <row r="17" ht="13.5" customHeight="1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</row>
    <row r="18" ht="13.5" customHeight="1">
      <c r="A18" s="154"/>
      <c r="B18" s="155">
        <v>2024.0</v>
      </c>
      <c r="C18" s="3"/>
      <c r="D18" s="3"/>
      <c r="E18" s="3"/>
      <c r="F18" s="4"/>
      <c r="G18" s="155">
        <v>2025.0</v>
      </c>
      <c r="H18" s="3"/>
      <c r="I18" s="3"/>
      <c r="J18" s="3"/>
      <c r="K18" s="140"/>
      <c r="L18" s="155" t="s">
        <v>9</v>
      </c>
      <c r="M18" s="3"/>
      <c r="N18" s="3"/>
      <c r="O18" s="3"/>
      <c r="P18" s="140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</row>
    <row r="19" ht="13.5" customHeight="1">
      <c r="A19" s="156" t="s">
        <v>24</v>
      </c>
      <c r="B19" s="157" t="s">
        <v>60</v>
      </c>
      <c r="C19" s="155" t="s">
        <v>61</v>
      </c>
      <c r="D19" s="3"/>
      <c r="E19" s="3"/>
      <c r="F19" s="4"/>
      <c r="G19" s="158" t="s">
        <v>60</v>
      </c>
      <c r="H19" s="155" t="s">
        <v>61</v>
      </c>
      <c r="I19" s="3"/>
      <c r="J19" s="3"/>
      <c r="K19" s="4"/>
      <c r="L19" s="158" t="s">
        <v>60</v>
      </c>
      <c r="M19" s="155" t="s">
        <v>61</v>
      </c>
      <c r="N19" s="3"/>
      <c r="O19" s="3"/>
      <c r="P19" s="4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</row>
    <row r="20" ht="13.5" customHeight="1">
      <c r="A20" s="138"/>
      <c r="B20" s="33" t="s">
        <v>62</v>
      </c>
      <c r="C20" s="103" t="s">
        <v>63</v>
      </c>
      <c r="D20" s="104" t="s">
        <v>64</v>
      </c>
      <c r="E20" s="105" t="s">
        <v>65</v>
      </c>
      <c r="F20" s="106" t="s">
        <v>66</v>
      </c>
      <c r="G20" s="33" t="s">
        <v>62</v>
      </c>
      <c r="H20" s="103" t="s">
        <v>63</v>
      </c>
      <c r="I20" s="104" t="s">
        <v>64</v>
      </c>
      <c r="J20" s="105" t="s">
        <v>65</v>
      </c>
      <c r="K20" s="106" t="s">
        <v>66</v>
      </c>
      <c r="L20" s="33" t="s">
        <v>62</v>
      </c>
      <c r="M20" s="103" t="s">
        <v>63</v>
      </c>
      <c r="N20" s="104" t="s">
        <v>64</v>
      </c>
      <c r="O20" s="105" t="s">
        <v>65</v>
      </c>
      <c r="P20" s="106" t="s">
        <v>66</v>
      </c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</row>
    <row r="21" ht="13.5" customHeight="1">
      <c r="A21" s="148" t="s">
        <v>10</v>
      </c>
      <c r="B21" s="117">
        <f>'Ricavi Gruppo x asset'!G3</f>
        <v>0</v>
      </c>
      <c r="C21" s="149" t="str">
        <f>'Costi x asset'!P4/B21</f>
        <v>#DIV/0!</v>
      </c>
      <c r="D21" s="150" t="str">
        <f>'Costi x asset'!S4/B21</f>
        <v>#DIV/0!</v>
      </c>
      <c r="E21" s="151" t="str">
        <f>'Costi x asset'!V4/B21</f>
        <v>#DIV/0!</v>
      </c>
      <c r="F21" s="152" t="str">
        <f>'Costi x asset'!Y4/B21</f>
        <v>#DIV/0!</v>
      </c>
      <c r="G21" s="117">
        <f>'Ricavi Gruppo x asset'!I3</f>
        <v>0</v>
      </c>
      <c r="H21" s="149" t="str">
        <f>'Costi x asset'!P4/G21</f>
        <v>#DIV/0!</v>
      </c>
      <c r="I21" s="150" t="str">
        <f>'Costi x asset'!S4/G21</f>
        <v>#DIV/0!</v>
      </c>
      <c r="J21" s="151" t="str">
        <f>'Costi x asset'!V4/G21</f>
        <v>#DIV/0!</v>
      </c>
      <c r="K21" s="152" t="str">
        <f>'Costi x asset'!Y4/G21</f>
        <v>#DIV/0!</v>
      </c>
      <c r="L21" s="117">
        <f>'Ricavi Gruppo x asset'!K3</f>
        <v>0</v>
      </c>
      <c r="M21" s="149" t="str">
        <f>'Costi x asset'!R4/'incidenza costi-ricavi'!L21</f>
        <v>#DIV/0!</v>
      </c>
      <c r="N21" s="150" t="str">
        <f>'Costi x asset'!U4/L21</f>
        <v>#DIV/0!</v>
      </c>
      <c r="O21" s="151" t="str">
        <f>'Costi x asset'!X4/L21</f>
        <v>#DIV/0!</v>
      </c>
      <c r="P21" s="152" t="str">
        <f>'Costi x asset'!AA4/L21</f>
        <v>#DIV/0!</v>
      </c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</row>
    <row r="22" ht="13.5" customHeight="1">
      <c r="A22" s="148" t="s">
        <v>11</v>
      </c>
      <c r="B22" s="117">
        <f>'Ricavi Gruppo x asset'!G4</f>
        <v>0</v>
      </c>
      <c r="C22" s="149" t="str">
        <f>'Costi x asset'!P5/B22</f>
        <v>#DIV/0!</v>
      </c>
      <c r="D22" s="150" t="str">
        <f>'Costi x asset'!S5/B22</f>
        <v>#DIV/0!</v>
      </c>
      <c r="E22" s="151" t="str">
        <f>'Costi x asset'!V5/B22</f>
        <v>#DIV/0!</v>
      </c>
      <c r="F22" s="152" t="str">
        <f>'Costi x asset'!Y5/B22</f>
        <v>#DIV/0!</v>
      </c>
      <c r="G22" s="117">
        <f>'Ricavi Gruppo x asset'!I4</f>
        <v>0</v>
      </c>
      <c r="H22" s="149" t="str">
        <f>'Costi x asset'!P5/G22</f>
        <v>#DIV/0!</v>
      </c>
      <c r="I22" s="150" t="str">
        <f>'Costi x asset'!S5/G22</f>
        <v>#DIV/0!</v>
      </c>
      <c r="J22" s="151" t="str">
        <f>'Costi x asset'!V5/G22</f>
        <v>#DIV/0!</v>
      </c>
      <c r="K22" s="152" t="str">
        <f>'Costi x asset'!Y5/G22</f>
        <v>#DIV/0!</v>
      </c>
      <c r="L22" s="117">
        <f>'Ricavi Gruppo x asset'!K4</f>
        <v>0</v>
      </c>
      <c r="M22" s="149" t="str">
        <f>'Costi x asset'!R5/'incidenza costi-ricavi'!L22</f>
        <v>#DIV/0!</v>
      </c>
      <c r="N22" s="150" t="str">
        <f>'Costi x asset'!U5/L22</f>
        <v>#DIV/0!</v>
      </c>
      <c r="O22" s="151" t="str">
        <f>'Costi x asset'!X5/L22</f>
        <v>#DIV/0!</v>
      </c>
      <c r="P22" s="152" t="str">
        <f>'Costi x asset'!AA5/L22</f>
        <v>#DIV/0!</v>
      </c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</row>
    <row r="23" ht="13.5" customHeight="1">
      <c r="A23" s="148" t="s">
        <v>12</v>
      </c>
      <c r="B23" s="117">
        <f>'Ricavi Gruppo x asset'!G6</f>
        <v>0</v>
      </c>
      <c r="C23" s="149" t="str">
        <f>'Costi x asset'!P6/B23</f>
        <v>#DIV/0!</v>
      </c>
      <c r="D23" s="150" t="str">
        <f>'Costi x asset'!S6/B23</f>
        <v>#DIV/0!</v>
      </c>
      <c r="E23" s="151" t="str">
        <f>'Costi x asset'!V6/B23</f>
        <v>#DIV/0!</v>
      </c>
      <c r="F23" s="152" t="str">
        <f>'Costi x asset'!Y6/B23</f>
        <v>#DIV/0!</v>
      </c>
      <c r="G23" s="117">
        <f>'Ricavi Gruppo x asset'!I6</f>
        <v>0</v>
      </c>
      <c r="H23" s="149" t="str">
        <f>'Costi x asset'!P6/G23</f>
        <v>#DIV/0!</v>
      </c>
      <c r="I23" s="150" t="str">
        <f>'Costi x asset'!S6/G23</f>
        <v>#DIV/0!</v>
      </c>
      <c r="J23" s="151" t="str">
        <f>'Costi x asset'!V6/G23</f>
        <v>#DIV/0!</v>
      </c>
      <c r="K23" s="152" t="str">
        <f>'Costi x asset'!Y6/G23</f>
        <v>#DIV/0!</v>
      </c>
      <c r="L23" s="117">
        <f>'Ricavi Gruppo x asset'!K6</f>
        <v>0</v>
      </c>
      <c r="M23" s="149" t="str">
        <f>'Costi x asset'!R6/'incidenza costi-ricavi'!L23</f>
        <v>#DIV/0!</v>
      </c>
      <c r="N23" s="150" t="str">
        <f>'Costi x asset'!U6/L23</f>
        <v>#DIV/0!</v>
      </c>
      <c r="O23" s="151" t="str">
        <f>'Costi x asset'!X6/L23</f>
        <v>#DIV/0!</v>
      </c>
      <c r="P23" s="152" t="str">
        <f>'Costi x asset'!AA6/L23</f>
        <v>#DIV/0!</v>
      </c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</row>
    <row r="24" ht="13.5" customHeight="1">
      <c r="A24" s="148" t="s">
        <v>13</v>
      </c>
      <c r="B24" s="117">
        <f>'Ricavi Gruppo x asset'!G8</f>
        <v>0</v>
      </c>
      <c r="C24" s="149" t="str">
        <f>'Costi x asset'!P7/B24</f>
        <v>#DIV/0!</v>
      </c>
      <c r="D24" s="150" t="str">
        <f>'Costi x asset'!S7/B24</f>
        <v>#DIV/0!</v>
      </c>
      <c r="E24" s="151" t="str">
        <f>'Costi x asset'!V7/B24</f>
        <v>#DIV/0!</v>
      </c>
      <c r="F24" s="152" t="str">
        <f>'Costi x asset'!Y7/B24</f>
        <v>#DIV/0!</v>
      </c>
      <c r="G24" s="117">
        <f>'Ricavi Gruppo x asset'!I8</f>
        <v>0</v>
      </c>
      <c r="H24" s="149" t="str">
        <f>'Costi x asset'!P7/G24</f>
        <v>#DIV/0!</v>
      </c>
      <c r="I24" s="150" t="str">
        <f>'Costi x asset'!S7/G24</f>
        <v>#DIV/0!</v>
      </c>
      <c r="J24" s="151" t="str">
        <f>'Costi x asset'!V7/G24</f>
        <v>#DIV/0!</v>
      </c>
      <c r="K24" s="152" t="str">
        <f>'Costi x asset'!Y7/G24</f>
        <v>#DIV/0!</v>
      </c>
      <c r="L24" s="117">
        <f>'Ricavi Gruppo x asset'!K8</f>
        <v>0</v>
      </c>
      <c r="M24" s="149" t="str">
        <f>'Costi x asset'!R7/'incidenza costi-ricavi'!L24</f>
        <v>#DIV/0!</v>
      </c>
      <c r="N24" s="150" t="str">
        <f>'Costi x asset'!U7/L24</f>
        <v>#DIV/0!</v>
      </c>
      <c r="O24" s="151" t="str">
        <f>'Costi x asset'!X7/L24</f>
        <v>#DIV/0!</v>
      </c>
      <c r="P24" s="152" t="str">
        <f>'Costi x asset'!AA7/L24</f>
        <v>#DIV/0!</v>
      </c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</row>
    <row r="25" ht="13.5" customHeight="1">
      <c r="A25" s="148" t="s">
        <v>14</v>
      </c>
      <c r="B25" s="117">
        <f>'Ricavi Gruppo x asset'!G10</f>
        <v>0</v>
      </c>
      <c r="C25" s="149" t="str">
        <f>'Costi x asset'!P8/B25</f>
        <v>#DIV/0!</v>
      </c>
      <c r="D25" s="150" t="str">
        <f>'Costi x asset'!S8/B25</f>
        <v>#DIV/0!</v>
      </c>
      <c r="E25" s="151" t="str">
        <f>'Costi x asset'!V8/B25</f>
        <v>#DIV/0!</v>
      </c>
      <c r="F25" s="152" t="str">
        <f>'Costi x asset'!Y8/B25</f>
        <v>#DIV/0!</v>
      </c>
      <c r="G25" s="117">
        <f>'Ricavi Gruppo x asset'!I10</f>
        <v>0</v>
      </c>
      <c r="H25" s="149" t="str">
        <f>'Costi x asset'!P8/G25</f>
        <v>#DIV/0!</v>
      </c>
      <c r="I25" s="150" t="str">
        <f>'Costi x asset'!S8/G25</f>
        <v>#DIV/0!</v>
      </c>
      <c r="J25" s="151" t="str">
        <f>'Costi x asset'!V8/G25</f>
        <v>#DIV/0!</v>
      </c>
      <c r="K25" s="152" t="str">
        <f>'Costi x asset'!Y8/G25</f>
        <v>#DIV/0!</v>
      </c>
      <c r="L25" s="117">
        <f>'Ricavi Gruppo x asset'!K10</f>
        <v>0</v>
      </c>
      <c r="M25" s="149" t="str">
        <f>'Costi x asset'!R8/'incidenza costi-ricavi'!L25</f>
        <v>#DIV/0!</v>
      </c>
      <c r="N25" s="150" t="str">
        <f>'Costi x asset'!U8/L25</f>
        <v>#DIV/0!</v>
      </c>
      <c r="O25" s="151" t="str">
        <f>'Costi x asset'!X8/L25</f>
        <v>#DIV/0!</v>
      </c>
      <c r="P25" s="152" t="str">
        <f>'Costi x asset'!AA8/L25</f>
        <v>#DIV/0!</v>
      </c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</row>
    <row r="26" ht="13.5" customHeight="1">
      <c r="A26" s="148" t="s">
        <v>15</v>
      </c>
      <c r="B26" s="117">
        <f>'Ricavi Gruppo x asset'!G12</f>
        <v>0</v>
      </c>
      <c r="C26" s="149" t="str">
        <f>'Costi x asset'!P9/B26</f>
        <v>#DIV/0!</v>
      </c>
      <c r="D26" s="150" t="str">
        <f>'Costi x asset'!S9/B26</f>
        <v>#DIV/0!</v>
      </c>
      <c r="E26" s="151" t="str">
        <f>'Costi x asset'!V9/B26</f>
        <v>#DIV/0!</v>
      </c>
      <c r="F26" s="152" t="str">
        <f>'Costi x asset'!Y9/B26</f>
        <v>#DIV/0!</v>
      </c>
      <c r="G26" s="117">
        <f>'Ricavi Gruppo x asset'!I12</f>
        <v>0</v>
      </c>
      <c r="H26" s="149" t="str">
        <f>'Costi x asset'!P9/G26</f>
        <v>#DIV/0!</v>
      </c>
      <c r="I26" s="150" t="str">
        <f>'Costi x asset'!S9/G26</f>
        <v>#DIV/0!</v>
      </c>
      <c r="J26" s="151" t="str">
        <f>'Costi x asset'!V9/G26</f>
        <v>#DIV/0!</v>
      </c>
      <c r="K26" s="152" t="str">
        <f>'Costi x asset'!Y9/G26</f>
        <v>#DIV/0!</v>
      </c>
      <c r="L26" s="117">
        <f>'Ricavi Gruppo x asset'!K12</f>
        <v>0</v>
      </c>
      <c r="M26" s="149" t="str">
        <f>'Costi x asset'!R9/'incidenza costi-ricavi'!L26</f>
        <v>#DIV/0!</v>
      </c>
      <c r="N26" s="150" t="str">
        <f>'Costi x asset'!U9/L26</f>
        <v>#DIV/0!</v>
      </c>
      <c r="O26" s="151" t="str">
        <f>'Costi x asset'!X9/L26</f>
        <v>#DIV/0!</v>
      </c>
      <c r="P26" s="152" t="str">
        <f>'Costi x asset'!AA9/L26</f>
        <v>#DIV/0!</v>
      </c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</row>
    <row r="27" ht="13.5" customHeight="1">
      <c r="A27" s="148" t="s">
        <v>16</v>
      </c>
      <c r="B27" s="117">
        <f>'Ricavi Gruppo x asset'!G14</f>
        <v>0</v>
      </c>
      <c r="C27" s="149" t="str">
        <f>'Costi x asset'!P10/B27</f>
        <v>#DIV/0!</v>
      </c>
      <c r="D27" s="150" t="str">
        <f>'Costi x asset'!S10/B27</f>
        <v>#DIV/0!</v>
      </c>
      <c r="E27" s="151" t="str">
        <f>'Costi x asset'!V10/B27</f>
        <v>#DIV/0!</v>
      </c>
      <c r="F27" s="152" t="str">
        <f>'Costi x asset'!Y10/B27</f>
        <v>#DIV/0!</v>
      </c>
      <c r="G27" s="117">
        <f>'Ricavi Gruppo x asset'!I14</f>
        <v>0</v>
      </c>
      <c r="H27" s="149" t="str">
        <f>'Costi x asset'!P10/G27</f>
        <v>#DIV/0!</v>
      </c>
      <c r="I27" s="150" t="str">
        <f>'Costi x asset'!S10/G27</f>
        <v>#DIV/0!</v>
      </c>
      <c r="J27" s="151" t="str">
        <f>'Costi x asset'!V10/G27</f>
        <v>#DIV/0!</v>
      </c>
      <c r="K27" s="152" t="str">
        <f>'Costi x asset'!Y10/G27</f>
        <v>#DIV/0!</v>
      </c>
      <c r="L27" s="117">
        <f>'Ricavi Gruppo x asset'!K14</f>
        <v>0</v>
      </c>
      <c r="M27" s="149" t="str">
        <f>'Costi x asset'!R10/'incidenza costi-ricavi'!L27</f>
        <v>#DIV/0!</v>
      </c>
      <c r="N27" s="150" t="str">
        <f>'Costi x asset'!U10/L27</f>
        <v>#DIV/0!</v>
      </c>
      <c r="O27" s="151" t="str">
        <f>'Costi x asset'!X10/L27</f>
        <v>#DIV/0!</v>
      </c>
      <c r="P27" s="152" t="str">
        <f>'Costi x asset'!AA10/L27</f>
        <v>#DIV/0!</v>
      </c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</row>
    <row r="28" ht="13.5" customHeight="1">
      <c r="A28" s="148" t="s">
        <v>17</v>
      </c>
      <c r="B28" s="117">
        <f>'Ricavi Gruppo x asset'!G16</f>
        <v>0</v>
      </c>
      <c r="C28" s="149" t="str">
        <f>'Costi x asset'!P11/B28</f>
        <v>#DIV/0!</v>
      </c>
      <c r="D28" s="150" t="str">
        <f>'Costi x asset'!S11/B28</f>
        <v>#DIV/0!</v>
      </c>
      <c r="E28" s="151" t="str">
        <f>'Costi x asset'!V11/B28</f>
        <v>#DIV/0!</v>
      </c>
      <c r="F28" s="152" t="str">
        <f>'Costi x asset'!Y11/B28</f>
        <v>#DIV/0!</v>
      </c>
      <c r="G28" s="117">
        <f>'Ricavi Gruppo x asset'!I16</f>
        <v>0</v>
      </c>
      <c r="H28" s="149" t="str">
        <f>'Costi x asset'!P11/G28</f>
        <v>#DIV/0!</v>
      </c>
      <c r="I28" s="150" t="str">
        <f>'Costi x asset'!S11/G28</f>
        <v>#DIV/0!</v>
      </c>
      <c r="J28" s="151" t="str">
        <f>'Costi x asset'!V11/G28</f>
        <v>#DIV/0!</v>
      </c>
      <c r="K28" s="152" t="str">
        <f>'Costi x asset'!Y11/G28</f>
        <v>#DIV/0!</v>
      </c>
      <c r="L28" s="117">
        <f>'Ricavi Gruppo x asset'!K16</f>
        <v>0</v>
      </c>
      <c r="M28" s="149" t="str">
        <f>'Costi x asset'!R11/'incidenza costi-ricavi'!L28</f>
        <v>#DIV/0!</v>
      </c>
      <c r="N28" s="150" t="str">
        <f>'Costi x asset'!U11/L28</f>
        <v>#DIV/0!</v>
      </c>
      <c r="O28" s="151" t="str">
        <f>'Costi x asset'!X11/L28</f>
        <v>#DIV/0!</v>
      </c>
      <c r="P28" s="152" t="str">
        <f>'Costi x asset'!AA11/L28</f>
        <v>#DIV/0!</v>
      </c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</row>
    <row r="29" ht="13.5" customHeight="1">
      <c r="A29" s="148" t="s">
        <v>18</v>
      </c>
      <c r="B29" s="117">
        <f>'Ricavi Gruppo x asset'!G18</f>
        <v>0</v>
      </c>
      <c r="C29" s="149" t="str">
        <f>'Costi x asset'!P12/B29</f>
        <v>#DIV/0!</v>
      </c>
      <c r="D29" s="150" t="str">
        <f>'Costi x asset'!S12/B29</f>
        <v>#DIV/0!</v>
      </c>
      <c r="E29" s="151" t="str">
        <f>'Costi x asset'!V12/B29</f>
        <v>#DIV/0!</v>
      </c>
      <c r="F29" s="152" t="str">
        <f>'Costi x asset'!Y12/B29</f>
        <v>#DIV/0!</v>
      </c>
      <c r="G29" s="117">
        <f>'Ricavi Gruppo x asset'!I18</f>
        <v>0</v>
      </c>
      <c r="H29" s="149" t="str">
        <f>'Costi x asset'!P12/G29</f>
        <v>#DIV/0!</v>
      </c>
      <c r="I29" s="150" t="str">
        <f>'Costi x asset'!S12/G29</f>
        <v>#DIV/0!</v>
      </c>
      <c r="J29" s="151" t="str">
        <f>'Costi x asset'!V12/G29</f>
        <v>#DIV/0!</v>
      </c>
      <c r="K29" s="152" t="str">
        <f>'Costi x asset'!Y12/G29</f>
        <v>#DIV/0!</v>
      </c>
      <c r="L29" s="117">
        <f>'Ricavi Gruppo x asset'!K18</f>
        <v>0</v>
      </c>
      <c r="M29" s="149" t="str">
        <f>'Costi x asset'!R12/'incidenza costi-ricavi'!L29</f>
        <v>#DIV/0!</v>
      </c>
      <c r="N29" s="150" t="str">
        <f>'Costi x asset'!U12/L29</f>
        <v>#DIV/0!</v>
      </c>
      <c r="O29" s="151" t="str">
        <f>'Costi x asset'!X12/L29</f>
        <v>#DIV/0!</v>
      </c>
      <c r="P29" s="152" t="str">
        <f>'Costi x asset'!AA12/L29</f>
        <v>#DIV/0!</v>
      </c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</row>
    <row r="30" ht="13.5" customHeight="1">
      <c r="A30" s="148" t="s">
        <v>19</v>
      </c>
      <c r="B30" s="117">
        <f>'Ricavi Gruppo x asset'!G20</f>
        <v>0</v>
      </c>
      <c r="C30" s="149" t="str">
        <f>'Costi x asset'!P13/B30</f>
        <v>#DIV/0!</v>
      </c>
      <c r="D30" s="150" t="str">
        <f>'Costi x asset'!S13/B30</f>
        <v>#DIV/0!</v>
      </c>
      <c r="E30" s="151" t="str">
        <f>'Costi x asset'!V13/B30</f>
        <v>#DIV/0!</v>
      </c>
      <c r="F30" s="152" t="str">
        <f>'Costi x asset'!Y13/B30</f>
        <v>#DIV/0!</v>
      </c>
      <c r="G30" s="117">
        <f>'Ricavi Gruppo x asset'!I20</f>
        <v>0</v>
      </c>
      <c r="H30" s="149" t="str">
        <f>'Costi x asset'!P13/G30</f>
        <v>#DIV/0!</v>
      </c>
      <c r="I30" s="150" t="str">
        <f>'Costi x asset'!S13/G30</f>
        <v>#DIV/0!</v>
      </c>
      <c r="J30" s="151" t="str">
        <f>'Costi x asset'!V13/G30</f>
        <v>#DIV/0!</v>
      </c>
      <c r="K30" s="152" t="str">
        <f>'Costi x asset'!Y13/G30</f>
        <v>#DIV/0!</v>
      </c>
      <c r="L30" s="117">
        <f>'Ricavi Gruppo x asset'!K20</f>
        <v>0</v>
      </c>
      <c r="M30" s="149" t="str">
        <f>'Costi x asset'!R13/'incidenza costi-ricavi'!L30</f>
        <v>#DIV/0!</v>
      </c>
      <c r="N30" s="150" t="str">
        <f>'Costi x asset'!U13/L30</f>
        <v>#DIV/0!</v>
      </c>
      <c r="O30" s="151" t="str">
        <f>'Costi x asset'!X13/L30</f>
        <v>#DIV/0!</v>
      </c>
      <c r="P30" s="152" t="str">
        <f>'Costi x asset'!AA13/L30</f>
        <v>#DIV/0!</v>
      </c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</row>
    <row r="31" ht="13.5" customHeight="1">
      <c r="A31" s="148" t="s">
        <v>20</v>
      </c>
      <c r="B31" s="117">
        <f>'Ricavi Gruppo x asset'!G22</f>
        <v>0</v>
      </c>
      <c r="C31" s="149" t="str">
        <f>'Costi x asset'!P14/B31</f>
        <v>#DIV/0!</v>
      </c>
      <c r="D31" s="150" t="str">
        <f>'Costi x asset'!S14/B31</f>
        <v>#DIV/0!</v>
      </c>
      <c r="E31" s="151" t="str">
        <f>'Costi x asset'!V14/B31</f>
        <v>#DIV/0!</v>
      </c>
      <c r="F31" s="152" t="str">
        <f>'Costi x asset'!Y14/B31</f>
        <v>#DIV/0!</v>
      </c>
      <c r="G31" s="117">
        <f>'Ricavi Gruppo x asset'!I22</f>
        <v>0</v>
      </c>
      <c r="H31" s="149" t="str">
        <f>'Costi x asset'!P14/G31</f>
        <v>#DIV/0!</v>
      </c>
      <c r="I31" s="150" t="str">
        <f>'Costi x asset'!S14/G31</f>
        <v>#DIV/0!</v>
      </c>
      <c r="J31" s="151" t="str">
        <f>'Costi x asset'!V14/G31</f>
        <v>#DIV/0!</v>
      </c>
      <c r="K31" s="152" t="str">
        <f>'Costi x asset'!Y14/G31</f>
        <v>#DIV/0!</v>
      </c>
      <c r="L31" s="117">
        <f>'Ricavi Gruppo x asset'!K22</f>
        <v>0</v>
      </c>
      <c r="M31" s="149" t="str">
        <f>'Costi x asset'!R14/'incidenza costi-ricavi'!L31</f>
        <v>#DIV/0!</v>
      </c>
      <c r="N31" s="150" t="str">
        <f>'Costi x asset'!U14/L31</f>
        <v>#DIV/0!</v>
      </c>
      <c r="O31" s="151" t="str">
        <f>'Costi x asset'!X14/L31</f>
        <v>#DIV/0!</v>
      </c>
      <c r="P31" s="152" t="str">
        <f>'Costi x asset'!AA14/L31</f>
        <v>#DIV/0!</v>
      </c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</row>
    <row r="32" ht="13.5" customHeight="1">
      <c r="A32" s="148" t="s">
        <v>21</v>
      </c>
      <c r="B32" s="117">
        <f>'Ricavi Gruppo x asset'!G24</f>
        <v>0</v>
      </c>
      <c r="C32" s="149" t="str">
        <f>'Costi x asset'!P15/B32</f>
        <v>#DIV/0!</v>
      </c>
      <c r="D32" s="150" t="str">
        <f>'Costi x asset'!S15/B32</f>
        <v>#DIV/0!</v>
      </c>
      <c r="E32" s="151" t="str">
        <f>'Costi x asset'!V15/B32</f>
        <v>#DIV/0!</v>
      </c>
      <c r="F32" s="152" t="str">
        <f>'Costi x asset'!Y15/B32</f>
        <v>#DIV/0!</v>
      </c>
      <c r="G32" s="117">
        <f>'Ricavi Gruppo x asset'!I24</f>
        <v>0</v>
      </c>
      <c r="H32" s="149" t="str">
        <f>'Costi x asset'!P15/G32</f>
        <v>#DIV/0!</v>
      </c>
      <c r="I32" s="150" t="str">
        <f>'Costi x asset'!S15/G32</f>
        <v>#DIV/0!</v>
      </c>
      <c r="J32" s="151" t="str">
        <f>'Costi x asset'!V15/G32</f>
        <v>#DIV/0!</v>
      </c>
      <c r="K32" s="152" t="str">
        <f>'Costi x asset'!Y15/G32</f>
        <v>#DIV/0!</v>
      </c>
      <c r="L32" s="117">
        <f>'Ricavi Gruppo x asset'!K24</f>
        <v>0</v>
      </c>
      <c r="M32" s="149" t="str">
        <f>'Costi x asset'!R15/'incidenza costi-ricavi'!L32</f>
        <v>#DIV/0!</v>
      </c>
      <c r="N32" s="150" t="str">
        <f>'Costi x asset'!U15/L32</f>
        <v>#DIV/0!</v>
      </c>
      <c r="O32" s="151" t="str">
        <f>'Costi x asset'!X15/L32</f>
        <v>#DIV/0!</v>
      </c>
      <c r="P32" s="152" t="str">
        <f>'Costi x asset'!AA15/L32</f>
        <v>#DIV/0!</v>
      </c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</row>
    <row r="33" ht="13.5" customHeight="1">
      <c r="A33" s="33" t="s">
        <v>22</v>
      </c>
      <c r="B33" s="153">
        <f>SUM(B21:B32)</f>
        <v>0</v>
      </c>
      <c r="C33" s="149" t="str">
        <f>'Costi x asset'!B33/'incidenza costi-ricavi'!B33</f>
        <v>#DIV/0!</v>
      </c>
      <c r="D33" s="150" t="str">
        <f>'Costi x asset'!S16/B33</f>
        <v>#DIV/0!</v>
      </c>
      <c r="E33" s="151" t="str">
        <f>'Costi x asset'!V16/B33</f>
        <v>#DIV/0!</v>
      </c>
      <c r="F33" s="152" t="str">
        <f>'Costi x asset'!Y16/B33</f>
        <v>#DIV/0!</v>
      </c>
      <c r="G33" s="153">
        <f>SUM(G21:G32)</f>
        <v>0</v>
      </c>
      <c r="H33" s="149" t="str">
        <f>'Costi x asset'!P16/G33</f>
        <v>#DIV/0!</v>
      </c>
      <c r="I33" s="150" t="str">
        <f>'Costi x asset'!S16/G33</f>
        <v>#DIV/0!</v>
      </c>
      <c r="J33" s="151" t="str">
        <f>'Costi x asset'!V16/G33</f>
        <v>#DIV/0!</v>
      </c>
      <c r="K33" s="152" t="str">
        <f>'Costi x asset'!Y16/G33</f>
        <v>#DIV/0!</v>
      </c>
      <c r="L33" s="153">
        <f>SUM(L21:L32)</f>
        <v>0</v>
      </c>
      <c r="M33" s="149" t="str">
        <f>'Costi x asset'!R16/'incidenza costi-ricavi'!L33</f>
        <v>#DIV/0!</v>
      </c>
      <c r="N33" s="150" t="str">
        <f>'Costi x asset'!U16/L33</f>
        <v>#DIV/0!</v>
      </c>
      <c r="O33" s="151" t="str">
        <f>'Costi x asset'!X16/L33</f>
        <v>#DIV/0!</v>
      </c>
      <c r="P33" s="152" t="str">
        <f>'Costi x asset'!AA16/L33</f>
        <v>#DIV/0!</v>
      </c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</row>
    <row r="34" ht="13.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</row>
    <row r="35" ht="13.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</row>
    <row r="36" ht="13.5" customHeight="1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</row>
    <row r="37" ht="13.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</row>
    <row r="38" ht="13.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</row>
    <row r="39" ht="13.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</row>
    <row r="40" ht="13.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</row>
    <row r="41" ht="13.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</row>
    <row r="42" ht="13.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</row>
    <row r="43" ht="13.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</row>
    <row r="44" ht="13.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</row>
    <row r="45" ht="13.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</row>
    <row r="46" ht="13.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</row>
    <row r="47" ht="13.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</row>
    <row r="48" ht="13.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</row>
    <row r="49" ht="13.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</row>
    <row r="50" ht="13.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</row>
    <row r="51" ht="13.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</row>
    <row r="52" ht="13.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</row>
    <row r="53" ht="13.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</row>
    <row r="54" ht="13.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</row>
    <row r="55" ht="13.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</row>
    <row r="56" ht="13.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</row>
    <row r="57" ht="13.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</row>
    <row r="58" ht="13.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</row>
    <row r="59" ht="13.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</row>
    <row r="60" ht="13.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</row>
    <row r="61" ht="13.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</row>
    <row r="62" ht="13.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</row>
    <row r="63" ht="13.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</row>
    <row r="64" ht="13.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</row>
    <row r="65" ht="13.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</row>
    <row r="66" ht="13.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</row>
    <row r="67" ht="13.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</row>
    <row r="68" ht="13.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</row>
    <row r="69" ht="13.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</row>
    <row r="70" ht="13.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</row>
    <row r="71" ht="13.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</row>
    <row r="72" ht="13.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</row>
    <row r="73" ht="13.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</row>
    <row r="74" ht="13.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</row>
    <row r="75" ht="13.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</row>
    <row r="76" ht="13.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</row>
    <row r="77" ht="13.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</row>
    <row r="78" ht="13.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</row>
    <row r="79" ht="13.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  <c r="AF79" s="138"/>
      <c r="AG79" s="138"/>
    </row>
    <row r="80" ht="13.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</row>
    <row r="81" ht="13.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</row>
    <row r="82" ht="13.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</row>
    <row r="83" ht="13.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</row>
    <row r="84" ht="13.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</row>
    <row r="85" ht="13.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</row>
    <row r="86" ht="13.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</row>
    <row r="87" ht="13.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</row>
    <row r="88" ht="13.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</row>
    <row r="89" ht="13.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  <c r="AF89" s="138"/>
      <c r="AG89" s="138"/>
    </row>
    <row r="90" ht="13.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</row>
    <row r="91" ht="13.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</row>
    <row r="92" ht="13.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</row>
    <row r="93" ht="13.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</row>
    <row r="94" ht="13.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  <c r="AE94" s="138"/>
      <c r="AF94" s="138"/>
      <c r="AG94" s="138"/>
    </row>
    <row r="95" ht="13.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</row>
    <row r="96" ht="13.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  <c r="AE96" s="138"/>
      <c r="AF96" s="138"/>
      <c r="AG96" s="138"/>
    </row>
    <row r="97" ht="13.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</row>
    <row r="98" ht="13.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8"/>
      <c r="AF98" s="138"/>
      <c r="AG98" s="138"/>
    </row>
    <row r="99" ht="13.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138"/>
      <c r="AG99" s="138"/>
    </row>
    <row r="100" ht="13.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</row>
    <row r="101" ht="13.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</row>
    <row r="102" ht="13.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38"/>
    </row>
    <row r="103" ht="13.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</row>
    <row r="104" ht="13.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  <c r="AE104" s="138"/>
      <c r="AF104" s="138"/>
      <c r="AG104" s="138"/>
    </row>
    <row r="105" ht="13.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</row>
    <row r="106" ht="13.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  <c r="AE106" s="138"/>
      <c r="AF106" s="138"/>
      <c r="AG106" s="138"/>
    </row>
    <row r="107" ht="13.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</row>
    <row r="108" ht="13.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  <c r="AE108" s="138"/>
      <c r="AF108" s="138"/>
      <c r="AG108" s="138"/>
    </row>
    <row r="109" ht="13.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  <c r="AE109" s="138"/>
      <c r="AF109" s="138"/>
      <c r="AG109" s="138"/>
    </row>
    <row r="110" ht="13.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  <c r="AE110" s="138"/>
      <c r="AF110" s="138"/>
      <c r="AG110" s="138"/>
    </row>
    <row r="111" ht="13.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  <c r="AE111" s="138"/>
      <c r="AF111" s="138"/>
      <c r="AG111" s="138"/>
    </row>
    <row r="112" ht="13.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38"/>
    </row>
    <row r="113" ht="13.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</row>
    <row r="114" ht="13.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  <c r="AE114" s="138"/>
      <c r="AF114" s="138"/>
      <c r="AG114" s="138"/>
    </row>
    <row r="115" ht="13.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</row>
    <row r="116" ht="13.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  <c r="AE116" s="138"/>
      <c r="AF116" s="138"/>
      <c r="AG116" s="138"/>
    </row>
    <row r="117" ht="13.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</row>
    <row r="118" ht="13.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  <c r="AE118" s="138"/>
      <c r="AF118" s="138"/>
      <c r="AG118" s="138"/>
    </row>
    <row r="119" ht="13.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</row>
    <row r="120" ht="13.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</row>
    <row r="121" ht="13.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  <c r="AE121" s="138"/>
      <c r="AF121" s="138"/>
      <c r="AG121" s="138"/>
    </row>
    <row r="122" ht="13.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  <c r="AE122" s="138"/>
      <c r="AF122" s="138"/>
      <c r="AG122" s="138"/>
    </row>
    <row r="123" ht="13.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38"/>
    </row>
    <row r="124" ht="13.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  <c r="AE124" s="138"/>
      <c r="AF124" s="138"/>
      <c r="AG124" s="138"/>
    </row>
    <row r="125" ht="13.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</row>
    <row r="126" ht="13.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  <c r="AE126" s="138"/>
      <c r="AF126" s="138"/>
      <c r="AG126" s="138"/>
    </row>
    <row r="127" ht="13.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  <c r="AE127" s="138"/>
      <c r="AF127" s="138"/>
      <c r="AG127" s="138"/>
    </row>
    <row r="128" ht="13.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</row>
    <row r="129" ht="13.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  <c r="AE129" s="138"/>
      <c r="AF129" s="138"/>
      <c r="AG129" s="138"/>
    </row>
    <row r="130" ht="13.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38"/>
    </row>
    <row r="131" ht="13.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  <c r="AE131" s="138"/>
      <c r="AF131" s="138"/>
      <c r="AG131" s="138"/>
    </row>
    <row r="132" ht="13.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</row>
    <row r="133" ht="13.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  <c r="AE133" s="138"/>
      <c r="AF133" s="138"/>
      <c r="AG133" s="138"/>
    </row>
    <row r="134" ht="13.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  <c r="AE134" s="138"/>
      <c r="AF134" s="138"/>
      <c r="AG134" s="138"/>
    </row>
    <row r="135" ht="13.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  <c r="AE135" s="138"/>
      <c r="AF135" s="138"/>
      <c r="AG135" s="138"/>
    </row>
    <row r="136" ht="13.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8"/>
      <c r="AE136" s="138"/>
      <c r="AF136" s="138"/>
      <c r="AG136" s="138"/>
    </row>
    <row r="137" ht="13.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  <c r="AE137" s="138"/>
      <c r="AF137" s="138"/>
      <c r="AG137" s="138"/>
    </row>
    <row r="138" ht="13.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  <c r="AE138" s="138"/>
      <c r="AF138" s="138"/>
      <c r="AG138" s="138"/>
    </row>
    <row r="139" ht="13.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  <c r="AE139" s="138"/>
      <c r="AF139" s="138"/>
      <c r="AG139" s="138"/>
    </row>
    <row r="140" ht="13.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  <c r="AE140" s="138"/>
      <c r="AF140" s="138"/>
      <c r="AG140" s="138"/>
    </row>
    <row r="141" ht="13.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  <c r="AE141" s="138"/>
      <c r="AF141" s="138"/>
      <c r="AG141" s="138"/>
    </row>
    <row r="142" ht="13.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  <c r="AE142" s="138"/>
      <c r="AF142" s="138"/>
      <c r="AG142" s="138"/>
    </row>
    <row r="143" ht="13.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  <c r="AE143" s="138"/>
      <c r="AF143" s="138"/>
      <c r="AG143" s="138"/>
    </row>
    <row r="144" ht="13.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  <c r="AE144" s="138"/>
      <c r="AF144" s="138"/>
      <c r="AG144" s="138"/>
    </row>
    <row r="145" ht="13.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  <c r="AE145" s="138"/>
      <c r="AF145" s="138"/>
      <c r="AG145" s="138"/>
    </row>
    <row r="146" ht="13.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  <c r="AE146" s="138"/>
      <c r="AF146" s="138"/>
      <c r="AG146" s="138"/>
    </row>
    <row r="147" ht="13.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  <c r="AE147" s="138"/>
      <c r="AF147" s="138"/>
      <c r="AG147" s="138"/>
    </row>
    <row r="148" ht="13.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</row>
    <row r="149" ht="13.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  <c r="AF149" s="138"/>
      <c r="AG149" s="138"/>
    </row>
    <row r="150" ht="13.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38"/>
    </row>
    <row r="151" ht="13.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  <c r="AE151" s="138"/>
      <c r="AF151" s="138"/>
      <c r="AG151" s="138"/>
    </row>
    <row r="152" ht="13.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</row>
    <row r="153" ht="13.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  <c r="AE153" s="138"/>
      <c r="AF153" s="138"/>
      <c r="AG153" s="138"/>
    </row>
    <row r="154" ht="13.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</row>
    <row r="155" ht="13.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  <c r="AE155" s="138"/>
      <c r="AF155" s="138"/>
      <c r="AG155" s="138"/>
    </row>
    <row r="156" ht="13.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  <c r="AE156" s="138"/>
      <c r="AF156" s="138"/>
      <c r="AG156" s="138"/>
    </row>
    <row r="157" ht="13.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38"/>
      <c r="AF157" s="138"/>
      <c r="AG157" s="138"/>
    </row>
    <row r="158" ht="13.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38"/>
    </row>
    <row r="159" ht="13.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  <c r="AE159" s="138"/>
      <c r="AF159" s="138"/>
      <c r="AG159" s="138"/>
    </row>
    <row r="160" ht="13.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</row>
    <row r="161" ht="13.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8"/>
      <c r="AE161" s="138"/>
      <c r="AF161" s="138"/>
      <c r="AG161" s="138"/>
    </row>
    <row r="162" ht="13.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  <c r="AE162" s="138"/>
      <c r="AF162" s="138"/>
      <c r="AG162" s="138"/>
    </row>
    <row r="163" ht="13.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  <c r="AE163" s="138"/>
      <c r="AF163" s="138"/>
      <c r="AG163" s="138"/>
    </row>
    <row r="164" ht="13.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  <c r="AE164" s="138"/>
      <c r="AF164" s="138"/>
      <c r="AG164" s="138"/>
    </row>
    <row r="165" ht="13.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  <c r="AE165" s="138"/>
      <c r="AF165" s="138"/>
      <c r="AG165" s="138"/>
    </row>
    <row r="166" ht="13.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  <c r="AD166" s="138"/>
      <c r="AE166" s="138"/>
      <c r="AF166" s="138"/>
      <c r="AG166" s="138"/>
    </row>
    <row r="167" ht="13.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  <c r="AE167" s="138"/>
      <c r="AF167" s="138"/>
      <c r="AG167" s="138"/>
    </row>
    <row r="168" ht="13.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  <c r="AE168" s="138"/>
      <c r="AF168" s="138"/>
      <c r="AG168" s="138"/>
    </row>
    <row r="169" ht="13.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  <c r="AE169" s="138"/>
      <c r="AF169" s="138"/>
      <c r="AG169" s="138"/>
    </row>
    <row r="170" ht="13.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  <c r="AD170" s="138"/>
      <c r="AE170" s="138"/>
      <c r="AF170" s="138"/>
      <c r="AG170" s="138"/>
    </row>
    <row r="171" ht="13.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  <c r="AD171" s="138"/>
      <c r="AE171" s="138"/>
      <c r="AF171" s="138"/>
      <c r="AG171" s="138"/>
    </row>
    <row r="172" ht="13.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  <c r="AD172" s="138"/>
      <c r="AE172" s="138"/>
      <c r="AF172" s="138"/>
      <c r="AG172" s="138"/>
    </row>
    <row r="173" ht="13.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  <c r="AD173" s="138"/>
      <c r="AE173" s="138"/>
      <c r="AF173" s="138"/>
      <c r="AG173" s="138"/>
    </row>
    <row r="174" ht="13.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  <c r="AD174" s="138"/>
      <c r="AE174" s="138"/>
      <c r="AF174" s="138"/>
      <c r="AG174" s="138"/>
    </row>
    <row r="175" ht="13.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  <c r="AD175" s="138"/>
      <c r="AE175" s="138"/>
      <c r="AF175" s="138"/>
      <c r="AG175" s="138"/>
    </row>
    <row r="176" ht="13.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  <c r="AD176" s="138"/>
      <c r="AE176" s="138"/>
      <c r="AF176" s="138"/>
      <c r="AG176" s="138"/>
    </row>
    <row r="177" ht="13.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  <c r="AE177" s="138"/>
      <c r="AF177" s="138"/>
      <c r="AG177" s="138"/>
    </row>
    <row r="178" ht="13.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  <c r="AD178" s="138"/>
      <c r="AE178" s="138"/>
      <c r="AF178" s="138"/>
      <c r="AG178" s="138"/>
    </row>
    <row r="179" ht="13.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  <c r="AD179" s="138"/>
      <c r="AE179" s="138"/>
      <c r="AF179" s="138"/>
      <c r="AG179" s="138"/>
    </row>
    <row r="180" ht="13.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  <c r="AD180" s="138"/>
      <c r="AE180" s="138"/>
      <c r="AF180" s="138"/>
      <c r="AG180" s="138"/>
    </row>
    <row r="181" ht="13.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  <c r="AE181" s="138"/>
      <c r="AF181" s="138"/>
      <c r="AG181" s="138"/>
    </row>
    <row r="182" ht="13.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  <c r="AD182" s="138"/>
      <c r="AE182" s="138"/>
      <c r="AF182" s="138"/>
      <c r="AG182" s="138"/>
    </row>
    <row r="183" ht="13.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  <c r="AD183" s="138"/>
      <c r="AE183" s="138"/>
      <c r="AF183" s="138"/>
      <c r="AG183" s="138"/>
    </row>
    <row r="184" ht="13.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  <c r="AD184" s="138"/>
      <c r="AE184" s="138"/>
      <c r="AF184" s="138"/>
      <c r="AG184" s="138"/>
    </row>
    <row r="185" ht="13.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  <c r="AD185" s="138"/>
      <c r="AE185" s="138"/>
      <c r="AF185" s="138"/>
      <c r="AG185" s="138"/>
    </row>
    <row r="186" ht="13.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  <c r="AD186" s="138"/>
      <c r="AE186" s="138"/>
      <c r="AF186" s="138"/>
      <c r="AG186" s="138"/>
    </row>
    <row r="187" ht="13.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  <c r="AD187" s="138"/>
      <c r="AE187" s="138"/>
      <c r="AF187" s="138"/>
      <c r="AG187" s="138"/>
    </row>
    <row r="188" ht="13.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  <c r="AE188" s="138"/>
      <c r="AF188" s="138"/>
      <c r="AG188" s="138"/>
    </row>
    <row r="189" ht="13.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  <c r="AE189" s="138"/>
      <c r="AF189" s="138"/>
      <c r="AG189" s="138"/>
    </row>
    <row r="190" ht="13.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  <c r="AD190" s="138"/>
      <c r="AE190" s="138"/>
      <c r="AF190" s="138"/>
      <c r="AG190" s="138"/>
    </row>
    <row r="191" ht="13.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  <c r="AD191" s="138"/>
      <c r="AE191" s="138"/>
      <c r="AF191" s="138"/>
      <c r="AG191" s="138"/>
    </row>
    <row r="192" ht="13.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  <c r="AD192" s="138"/>
      <c r="AE192" s="138"/>
      <c r="AF192" s="138"/>
      <c r="AG192" s="138"/>
    </row>
    <row r="193" ht="13.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  <c r="AE193" s="138"/>
      <c r="AF193" s="138"/>
      <c r="AG193" s="138"/>
    </row>
    <row r="194" ht="13.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  <c r="AD194" s="138"/>
      <c r="AE194" s="138"/>
      <c r="AF194" s="138"/>
      <c r="AG194" s="138"/>
    </row>
    <row r="195" ht="13.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  <c r="AE195" s="138"/>
      <c r="AF195" s="138"/>
      <c r="AG195" s="138"/>
    </row>
    <row r="196" ht="13.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  <c r="AE196" s="138"/>
      <c r="AF196" s="138"/>
      <c r="AG196" s="138"/>
    </row>
    <row r="197" ht="13.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  <c r="AD197" s="138"/>
      <c r="AE197" s="138"/>
      <c r="AF197" s="138"/>
      <c r="AG197" s="138"/>
    </row>
    <row r="198" ht="13.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  <c r="AD198" s="138"/>
      <c r="AE198" s="138"/>
      <c r="AF198" s="138"/>
      <c r="AG198" s="138"/>
    </row>
    <row r="199" ht="13.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  <c r="AD199" s="138"/>
      <c r="AE199" s="138"/>
      <c r="AF199" s="138"/>
      <c r="AG199" s="138"/>
    </row>
    <row r="200" ht="13.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  <c r="AD200" s="138"/>
      <c r="AE200" s="138"/>
      <c r="AF200" s="138"/>
      <c r="AG200" s="138"/>
    </row>
    <row r="201" ht="13.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  <c r="AE201" s="138"/>
      <c r="AF201" s="138"/>
      <c r="AG201" s="138"/>
    </row>
    <row r="202" ht="13.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8"/>
      <c r="AG202" s="138"/>
    </row>
    <row r="203" ht="13.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  <c r="AE203" s="138"/>
      <c r="AF203" s="138"/>
      <c r="AG203" s="138"/>
    </row>
    <row r="204" ht="13.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  <c r="AD204" s="138"/>
      <c r="AE204" s="138"/>
      <c r="AF204" s="138"/>
      <c r="AG204" s="138"/>
    </row>
    <row r="205" ht="13.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  <c r="AD205" s="138"/>
      <c r="AE205" s="138"/>
      <c r="AF205" s="138"/>
      <c r="AG205" s="138"/>
    </row>
    <row r="206" ht="13.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  <c r="AD206" s="138"/>
      <c r="AE206" s="138"/>
      <c r="AF206" s="138"/>
      <c r="AG206" s="138"/>
    </row>
    <row r="207" ht="13.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  <c r="AD207" s="138"/>
      <c r="AE207" s="138"/>
      <c r="AF207" s="138"/>
      <c r="AG207" s="138"/>
    </row>
    <row r="208" ht="13.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  <c r="AE208" s="138"/>
      <c r="AF208" s="138"/>
      <c r="AG208" s="138"/>
    </row>
    <row r="209" ht="13.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  <c r="AD209" s="138"/>
      <c r="AE209" s="138"/>
      <c r="AF209" s="138"/>
      <c r="AG209" s="138"/>
    </row>
    <row r="210" ht="13.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  <c r="AD210" s="138"/>
      <c r="AE210" s="138"/>
      <c r="AF210" s="138"/>
      <c r="AG210" s="138"/>
    </row>
    <row r="211" ht="13.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  <c r="AD211" s="138"/>
      <c r="AE211" s="138"/>
      <c r="AF211" s="138"/>
      <c r="AG211" s="138"/>
    </row>
    <row r="212" ht="13.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  <c r="AD212" s="138"/>
      <c r="AE212" s="138"/>
      <c r="AF212" s="138"/>
      <c r="AG212" s="138"/>
    </row>
    <row r="213" ht="13.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  <c r="AD213" s="138"/>
      <c r="AE213" s="138"/>
      <c r="AF213" s="138"/>
      <c r="AG213" s="138"/>
    </row>
    <row r="214" ht="13.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  <c r="AD214" s="138"/>
      <c r="AE214" s="138"/>
      <c r="AF214" s="138"/>
      <c r="AG214" s="138"/>
    </row>
    <row r="215" ht="13.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  <c r="AD215" s="138"/>
      <c r="AE215" s="138"/>
      <c r="AF215" s="138"/>
      <c r="AG215" s="138"/>
    </row>
    <row r="216" ht="13.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  <c r="AD216" s="138"/>
      <c r="AE216" s="138"/>
      <c r="AF216" s="138"/>
      <c r="AG216" s="138"/>
    </row>
    <row r="217" ht="13.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38"/>
      <c r="AD217" s="138"/>
      <c r="AE217" s="138"/>
      <c r="AF217" s="138"/>
      <c r="AG217" s="138"/>
    </row>
    <row r="218" ht="13.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  <c r="AE218" s="138"/>
      <c r="AF218" s="138"/>
      <c r="AG218" s="138"/>
    </row>
    <row r="219" ht="13.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  <c r="AD219" s="138"/>
      <c r="AE219" s="138"/>
      <c r="AF219" s="138"/>
      <c r="AG219" s="138"/>
    </row>
    <row r="220" ht="13.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  <c r="AD220" s="138"/>
      <c r="AE220" s="138"/>
      <c r="AF220" s="138"/>
      <c r="AG220" s="138"/>
    </row>
    <row r="221" ht="13.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  <c r="AE221" s="138"/>
      <c r="AF221" s="138"/>
      <c r="AG221" s="138"/>
    </row>
    <row r="222" ht="13.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  <c r="AD222" s="138"/>
      <c r="AE222" s="138"/>
      <c r="AF222" s="138"/>
      <c r="AG222" s="138"/>
    </row>
    <row r="223" ht="13.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  <c r="AE223" s="138"/>
      <c r="AF223" s="138"/>
      <c r="AG223" s="138"/>
    </row>
    <row r="224" ht="13.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  <c r="AD224" s="138"/>
      <c r="AE224" s="138"/>
      <c r="AF224" s="138"/>
      <c r="AG224" s="138"/>
    </row>
    <row r="225" ht="13.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  <c r="AD225" s="138"/>
      <c r="AE225" s="138"/>
      <c r="AF225" s="138"/>
      <c r="AG225" s="138"/>
    </row>
    <row r="226" ht="13.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  <c r="AD226" s="138"/>
      <c r="AE226" s="138"/>
      <c r="AF226" s="138"/>
      <c r="AG226" s="138"/>
    </row>
    <row r="227" ht="13.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  <c r="AD227" s="138"/>
      <c r="AE227" s="138"/>
      <c r="AF227" s="138"/>
      <c r="AG227" s="138"/>
    </row>
    <row r="228" ht="13.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  <c r="AD228" s="138"/>
      <c r="AE228" s="138"/>
      <c r="AF228" s="138"/>
      <c r="AG228" s="138"/>
    </row>
    <row r="229" ht="13.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  <c r="AD229" s="138"/>
      <c r="AE229" s="138"/>
      <c r="AF229" s="138"/>
      <c r="AG229" s="138"/>
    </row>
    <row r="230" ht="13.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  <c r="AD230" s="138"/>
      <c r="AE230" s="138"/>
      <c r="AF230" s="138"/>
      <c r="AG230" s="138"/>
    </row>
    <row r="231" ht="13.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  <c r="AE231" s="138"/>
      <c r="AF231" s="138"/>
      <c r="AG231" s="138"/>
    </row>
    <row r="232" ht="13.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  <c r="AD232" s="138"/>
      <c r="AE232" s="138"/>
      <c r="AF232" s="138"/>
      <c r="AG232" s="138"/>
    </row>
    <row r="233" ht="13.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  <c r="AD233" s="138"/>
      <c r="AE233" s="138"/>
      <c r="AF233" s="138"/>
      <c r="AG233" s="138"/>
    </row>
    <row r="234" ht="13.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  <c r="AE234" s="138"/>
      <c r="AF234" s="138"/>
      <c r="AG234" s="138"/>
    </row>
    <row r="235" ht="13.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38"/>
      <c r="AF235" s="138"/>
      <c r="AG235" s="138"/>
    </row>
    <row r="236" ht="13.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  <c r="AD236" s="138"/>
      <c r="AE236" s="138"/>
      <c r="AF236" s="138"/>
      <c r="AG236" s="138"/>
    </row>
    <row r="237" ht="13.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  <c r="AE237" s="138"/>
      <c r="AF237" s="138"/>
      <c r="AG237" s="138"/>
    </row>
    <row r="238" ht="13.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  <c r="AE238" s="138"/>
      <c r="AF238" s="138"/>
      <c r="AG238" s="138"/>
    </row>
    <row r="239" ht="13.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  <c r="AD239" s="138"/>
      <c r="AE239" s="138"/>
      <c r="AF239" s="138"/>
      <c r="AG239" s="138"/>
    </row>
    <row r="240" ht="13.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  <c r="AD240" s="138"/>
      <c r="AE240" s="138"/>
      <c r="AF240" s="138"/>
      <c r="AG240" s="138"/>
    </row>
    <row r="241" ht="13.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  <c r="AD241" s="138"/>
      <c r="AE241" s="138"/>
      <c r="AF241" s="138"/>
      <c r="AG241" s="138"/>
    </row>
    <row r="242" ht="13.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  <c r="AD242" s="138"/>
      <c r="AE242" s="138"/>
      <c r="AF242" s="138"/>
      <c r="AG242" s="138"/>
    </row>
    <row r="243" ht="13.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  <c r="AD243" s="138"/>
      <c r="AE243" s="138"/>
      <c r="AF243" s="138"/>
      <c r="AG243" s="138"/>
    </row>
    <row r="244" ht="13.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  <c r="AD244" s="138"/>
      <c r="AE244" s="138"/>
      <c r="AF244" s="138"/>
      <c r="AG244" s="138"/>
    </row>
    <row r="245" ht="13.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  <c r="AD245" s="138"/>
      <c r="AE245" s="138"/>
      <c r="AF245" s="138"/>
      <c r="AG245" s="138"/>
    </row>
    <row r="246" ht="13.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  <c r="AD246" s="138"/>
      <c r="AE246" s="138"/>
      <c r="AF246" s="138"/>
      <c r="AG246" s="138"/>
    </row>
    <row r="247" ht="13.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  <c r="AD247" s="138"/>
      <c r="AE247" s="138"/>
      <c r="AF247" s="138"/>
      <c r="AG247" s="138"/>
    </row>
    <row r="248" ht="13.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  <c r="AD248" s="138"/>
      <c r="AE248" s="138"/>
      <c r="AF248" s="138"/>
      <c r="AG248" s="138"/>
    </row>
    <row r="249" ht="13.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  <c r="AD249" s="138"/>
      <c r="AE249" s="138"/>
      <c r="AF249" s="138"/>
      <c r="AG249" s="138"/>
    </row>
    <row r="250" ht="13.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  <c r="AD250" s="138"/>
      <c r="AE250" s="138"/>
      <c r="AF250" s="138"/>
      <c r="AG250" s="138"/>
    </row>
    <row r="251" ht="13.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  <c r="AD251" s="138"/>
      <c r="AE251" s="138"/>
      <c r="AF251" s="138"/>
      <c r="AG251" s="138"/>
    </row>
    <row r="252" ht="13.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  <c r="AD252" s="138"/>
      <c r="AE252" s="138"/>
      <c r="AF252" s="138"/>
      <c r="AG252" s="138"/>
    </row>
    <row r="253" ht="13.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  <c r="AD253" s="138"/>
      <c r="AE253" s="138"/>
      <c r="AF253" s="138"/>
      <c r="AG253" s="138"/>
    </row>
    <row r="254" ht="13.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  <c r="AD254" s="138"/>
      <c r="AE254" s="138"/>
      <c r="AF254" s="138"/>
      <c r="AG254" s="138"/>
    </row>
    <row r="255" ht="13.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  <c r="AD255" s="138"/>
      <c r="AE255" s="138"/>
      <c r="AF255" s="138"/>
      <c r="AG255" s="138"/>
    </row>
    <row r="256" ht="13.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  <c r="AD256" s="138"/>
      <c r="AE256" s="138"/>
      <c r="AF256" s="138"/>
      <c r="AG256" s="138"/>
    </row>
    <row r="257" ht="13.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  <c r="AD257" s="138"/>
      <c r="AE257" s="138"/>
      <c r="AF257" s="138"/>
      <c r="AG257" s="138"/>
    </row>
    <row r="258" ht="13.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  <c r="AD258" s="138"/>
      <c r="AE258" s="138"/>
      <c r="AF258" s="138"/>
      <c r="AG258" s="138"/>
    </row>
    <row r="259" ht="13.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  <c r="AG259" s="138"/>
    </row>
    <row r="260" ht="13.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  <c r="AD260" s="138"/>
      <c r="AE260" s="138"/>
      <c r="AF260" s="138"/>
      <c r="AG260" s="138"/>
    </row>
    <row r="261" ht="13.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  <c r="AD261" s="138"/>
      <c r="AE261" s="138"/>
      <c r="AF261" s="138"/>
      <c r="AG261" s="138"/>
    </row>
    <row r="262" ht="13.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  <c r="AD262" s="138"/>
      <c r="AE262" s="138"/>
      <c r="AF262" s="138"/>
      <c r="AG262" s="138"/>
    </row>
    <row r="263" ht="13.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  <c r="AD263" s="138"/>
      <c r="AE263" s="138"/>
      <c r="AF263" s="138"/>
      <c r="AG263" s="138"/>
    </row>
    <row r="264" ht="13.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  <c r="AD264" s="138"/>
      <c r="AE264" s="138"/>
      <c r="AF264" s="138"/>
      <c r="AG264" s="138"/>
    </row>
    <row r="265" ht="13.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  <c r="AD265" s="138"/>
      <c r="AE265" s="138"/>
      <c r="AF265" s="138"/>
      <c r="AG265" s="138"/>
    </row>
    <row r="266" ht="13.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  <c r="AD266" s="138"/>
      <c r="AE266" s="138"/>
      <c r="AF266" s="138"/>
      <c r="AG266" s="138"/>
    </row>
    <row r="267" ht="13.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  <c r="AD267" s="138"/>
      <c r="AE267" s="138"/>
      <c r="AF267" s="138"/>
      <c r="AG267" s="138"/>
    </row>
    <row r="268" ht="13.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  <c r="AE268" s="138"/>
      <c r="AF268" s="138"/>
      <c r="AG268" s="138"/>
    </row>
    <row r="269" ht="13.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  <c r="AD269" s="138"/>
      <c r="AE269" s="138"/>
      <c r="AF269" s="138"/>
      <c r="AG269" s="138"/>
    </row>
    <row r="270" ht="13.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  <c r="AD270" s="138"/>
      <c r="AE270" s="138"/>
      <c r="AF270" s="138"/>
      <c r="AG270" s="138"/>
    </row>
    <row r="271" ht="13.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  <c r="AD271" s="138"/>
      <c r="AE271" s="138"/>
      <c r="AF271" s="138"/>
      <c r="AG271" s="138"/>
    </row>
    <row r="272" ht="13.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  <c r="AD272" s="138"/>
      <c r="AE272" s="138"/>
      <c r="AF272" s="138"/>
      <c r="AG272" s="138"/>
    </row>
    <row r="273" ht="13.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  <c r="AE273" s="138"/>
      <c r="AF273" s="138"/>
      <c r="AG273" s="138"/>
    </row>
    <row r="274" ht="13.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  <c r="AD274" s="138"/>
      <c r="AE274" s="138"/>
      <c r="AF274" s="138"/>
      <c r="AG274" s="138"/>
    </row>
    <row r="275" ht="13.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  <c r="AD275" s="138"/>
      <c r="AE275" s="138"/>
      <c r="AF275" s="138"/>
      <c r="AG275" s="138"/>
    </row>
    <row r="276" ht="13.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  <c r="AD276" s="138"/>
      <c r="AE276" s="138"/>
      <c r="AF276" s="138"/>
      <c r="AG276" s="138"/>
    </row>
    <row r="277" ht="13.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  <c r="AD277" s="138"/>
      <c r="AE277" s="138"/>
      <c r="AF277" s="138"/>
      <c r="AG277" s="138"/>
    </row>
    <row r="278" ht="13.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  <c r="AD278" s="138"/>
      <c r="AE278" s="138"/>
      <c r="AF278" s="138"/>
      <c r="AG278" s="138"/>
    </row>
    <row r="279" ht="13.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  <c r="AD279" s="138"/>
      <c r="AE279" s="138"/>
      <c r="AF279" s="138"/>
      <c r="AG279" s="138"/>
    </row>
    <row r="280" ht="13.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  <c r="AE280" s="138"/>
      <c r="AF280" s="138"/>
      <c r="AG280" s="138"/>
    </row>
    <row r="281" ht="13.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  <c r="AD281" s="138"/>
      <c r="AE281" s="138"/>
      <c r="AF281" s="138"/>
      <c r="AG281" s="138"/>
    </row>
    <row r="282" ht="13.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  <c r="AD282" s="138"/>
      <c r="AE282" s="138"/>
      <c r="AF282" s="138"/>
      <c r="AG282" s="138"/>
    </row>
    <row r="283" ht="13.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38"/>
      <c r="AD283" s="138"/>
      <c r="AE283" s="138"/>
      <c r="AF283" s="138"/>
      <c r="AG283" s="138"/>
    </row>
    <row r="284" ht="13.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  <c r="AD284" s="138"/>
      <c r="AE284" s="138"/>
      <c r="AF284" s="138"/>
      <c r="AG284" s="138"/>
    </row>
    <row r="285" ht="13.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  <c r="AD285" s="138"/>
      <c r="AE285" s="138"/>
      <c r="AF285" s="138"/>
      <c r="AG285" s="138"/>
    </row>
    <row r="286" ht="13.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  <c r="AD286" s="138"/>
      <c r="AE286" s="138"/>
      <c r="AF286" s="138"/>
      <c r="AG286" s="138"/>
    </row>
    <row r="287" ht="13.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  <c r="AD287" s="138"/>
      <c r="AE287" s="138"/>
      <c r="AF287" s="138"/>
      <c r="AG287" s="138"/>
    </row>
    <row r="288" ht="13.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  <c r="AD288" s="138"/>
      <c r="AE288" s="138"/>
      <c r="AF288" s="138"/>
      <c r="AG288" s="138"/>
    </row>
    <row r="289" ht="13.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  <c r="AD289" s="138"/>
      <c r="AE289" s="138"/>
      <c r="AF289" s="138"/>
      <c r="AG289" s="138"/>
    </row>
    <row r="290" ht="13.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  <c r="AE290" s="138"/>
      <c r="AF290" s="138"/>
      <c r="AG290" s="138"/>
    </row>
    <row r="291" ht="13.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  <c r="AE291" s="138"/>
      <c r="AF291" s="138"/>
      <c r="AG291" s="138"/>
    </row>
    <row r="292" ht="13.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  <c r="AD292" s="138"/>
      <c r="AE292" s="138"/>
      <c r="AF292" s="138"/>
      <c r="AG292" s="138"/>
    </row>
    <row r="293" ht="13.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38"/>
      <c r="AD293" s="138"/>
      <c r="AE293" s="138"/>
      <c r="AF293" s="138"/>
      <c r="AG293" s="138"/>
    </row>
    <row r="294" ht="13.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  <c r="AD294" s="138"/>
      <c r="AE294" s="138"/>
      <c r="AF294" s="138"/>
      <c r="AG294" s="138"/>
    </row>
    <row r="295" ht="13.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  <c r="AD295" s="138"/>
      <c r="AE295" s="138"/>
      <c r="AF295" s="138"/>
      <c r="AG295" s="138"/>
    </row>
    <row r="296" ht="13.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  <c r="AD296" s="138"/>
      <c r="AE296" s="138"/>
      <c r="AF296" s="138"/>
      <c r="AG296" s="138"/>
    </row>
    <row r="297" ht="13.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</row>
    <row r="298" ht="13.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  <c r="AE298" s="138"/>
      <c r="AF298" s="138"/>
      <c r="AG298" s="138"/>
    </row>
    <row r="299" ht="13.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38"/>
      <c r="AD299" s="138"/>
      <c r="AE299" s="138"/>
      <c r="AF299" s="138"/>
      <c r="AG299" s="138"/>
    </row>
    <row r="300" ht="13.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38"/>
      <c r="AD300" s="138"/>
      <c r="AE300" s="138"/>
      <c r="AF300" s="138"/>
      <c r="AG300" s="138"/>
    </row>
    <row r="301" ht="13.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38"/>
      <c r="AD301" s="138"/>
      <c r="AE301" s="138"/>
      <c r="AF301" s="138"/>
      <c r="AG301" s="138"/>
    </row>
    <row r="302" ht="13.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38"/>
      <c r="AD302" s="138"/>
      <c r="AE302" s="138"/>
      <c r="AF302" s="138"/>
      <c r="AG302" s="138"/>
    </row>
    <row r="303" ht="13.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38"/>
      <c r="AD303" s="138"/>
      <c r="AE303" s="138"/>
      <c r="AF303" s="138"/>
      <c r="AG303" s="138"/>
    </row>
    <row r="304" ht="13.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  <c r="AD304" s="138"/>
      <c r="AE304" s="138"/>
      <c r="AF304" s="138"/>
      <c r="AG304" s="138"/>
    </row>
    <row r="305" ht="13.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38"/>
      <c r="AD305" s="138"/>
      <c r="AE305" s="138"/>
      <c r="AF305" s="138"/>
      <c r="AG305" s="138"/>
    </row>
    <row r="306" ht="13.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  <c r="AD306" s="138"/>
      <c r="AE306" s="138"/>
      <c r="AF306" s="138"/>
      <c r="AG306" s="138"/>
    </row>
    <row r="307" ht="13.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  <c r="AD307" s="138"/>
      <c r="AE307" s="138"/>
      <c r="AF307" s="138"/>
      <c r="AG307" s="138"/>
    </row>
    <row r="308" ht="13.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  <c r="AD308" s="138"/>
      <c r="AE308" s="138"/>
      <c r="AF308" s="138"/>
      <c r="AG308" s="138"/>
    </row>
    <row r="309" ht="13.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</row>
    <row r="310" ht="13.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38"/>
    </row>
    <row r="311" ht="13.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  <c r="AD311" s="138"/>
      <c r="AE311" s="138"/>
      <c r="AF311" s="138"/>
      <c r="AG311" s="138"/>
    </row>
    <row r="312" ht="13.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  <c r="AD312" s="138"/>
      <c r="AE312" s="138"/>
      <c r="AF312" s="138"/>
      <c r="AG312" s="138"/>
    </row>
    <row r="313" ht="13.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38"/>
      <c r="AD313" s="138"/>
      <c r="AE313" s="138"/>
      <c r="AF313" s="138"/>
      <c r="AG313" s="138"/>
    </row>
    <row r="314" ht="13.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</row>
    <row r="315" ht="13.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38"/>
      <c r="AD315" s="138"/>
      <c r="AE315" s="138"/>
      <c r="AF315" s="138"/>
      <c r="AG315" s="138"/>
    </row>
    <row r="316" ht="13.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  <c r="AD316" s="138"/>
      <c r="AE316" s="138"/>
      <c r="AF316" s="138"/>
      <c r="AG316" s="138"/>
    </row>
    <row r="317" ht="13.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  <c r="AE317" s="138"/>
      <c r="AF317" s="138"/>
      <c r="AG317" s="138"/>
    </row>
    <row r="318" ht="13.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  <c r="AE318" s="138"/>
      <c r="AF318" s="138"/>
      <c r="AG318" s="138"/>
    </row>
    <row r="319" ht="13.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  <c r="AD319" s="138"/>
      <c r="AE319" s="138"/>
      <c r="AF319" s="138"/>
      <c r="AG319" s="138"/>
    </row>
    <row r="320" ht="13.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  <c r="AE320" s="138"/>
      <c r="AF320" s="138"/>
      <c r="AG320" s="138"/>
    </row>
    <row r="321" ht="13.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38"/>
      <c r="AD321" s="138"/>
      <c r="AE321" s="138"/>
      <c r="AF321" s="138"/>
      <c r="AG321" s="138"/>
    </row>
    <row r="322" ht="13.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</row>
    <row r="323" ht="13.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38"/>
      <c r="AD323" s="138"/>
      <c r="AE323" s="138"/>
      <c r="AF323" s="138"/>
      <c r="AG323" s="138"/>
    </row>
    <row r="324" ht="13.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  <c r="AD324" s="138"/>
      <c r="AE324" s="138"/>
      <c r="AF324" s="138"/>
      <c r="AG324" s="138"/>
    </row>
    <row r="325" ht="13.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38"/>
      <c r="AD325" s="138"/>
      <c r="AE325" s="138"/>
      <c r="AF325" s="138"/>
      <c r="AG325" s="138"/>
    </row>
    <row r="326" ht="13.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38"/>
      <c r="AD326" s="138"/>
      <c r="AE326" s="138"/>
      <c r="AF326" s="138"/>
      <c r="AG326" s="138"/>
    </row>
    <row r="327" ht="13.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38"/>
      <c r="AD327" s="138"/>
      <c r="AE327" s="138"/>
      <c r="AF327" s="138"/>
      <c r="AG327" s="138"/>
    </row>
    <row r="328" ht="13.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38"/>
    </row>
    <row r="329" ht="13.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  <c r="AD329" s="138"/>
      <c r="AE329" s="138"/>
      <c r="AF329" s="138"/>
      <c r="AG329" s="138"/>
    </row>
    <row r="330" ht="13.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  <c r="AD330" s="138"/>
      <c r="AE330" s="138"/>
      <c r="AF330" s="138"/>
      <c r="AG330" s="138"/>
    </row>
    <row r="331" ht="13.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38"/>
      <c r="AD331" s="138"/>
      <c r="AE331" s="138"/>
      <c r="AF331" s="138"/>
      <c r="AG331" s="138"/>
    </row>
    <row r="332" ht="13.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  <c r="AD332" s="138"/>
      <c r="AE332" s="138"/>
      <c r="AF332" s="138"/>
      <c r="AG332" s="138"/>
    </row>
    <row r="333" ht="13.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  <c r="AD333" s="138"/>
      <c r="AE333" s="138"/>
      <c r="AF333" s="138"/>
      <c r="AG333" s="138"/>
    </row>
    <row r="334" ht="13.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  <c r="AD334" s="138"/>
      <c r="AE334" s="138"/>
      <c r="AF334" s="138"/>
      <c r="AG334" s="138"/>
    </row>
    <row r="335" ht="13.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38"/>
      <c r="AD335" s="138"/>
      <c r="AE335" s="138"/>
      <c r="AF335" s="138"/>
      <c r="AG335" s="138"/>
    </row>
    <row r="336" ht="13.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  <c r="AD336" s="138"/>
      <c r="AE336" s="138"/>
      <c r="AF336" s="138"/>
      <c r="AG336" s="138"/>
    </row>
    <row r="337" ht="13.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  <c r="AD337" s="138"/>
      <c r="AE337" s="138"/>
      <c r="AF337" s="138"/>
      <c r="AG337" s="138"/>
    </row>
    <row r="338" ht="13.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  <c r="AD338" s="138"/>
      <c r="AE338" s="138"/>
      <c r="AF338" s="138"/>
      <c r="AG338" s="138"/>
    </row>
    <row r="339" ht="13.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  <c r="AG339" s="138"/>
    </row>
    <row r="340" ht="13.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  <c r="AE340" s="138"/>
      <c r="AF340" s="138"/>
      <c r="AG340" s="138"/>
    </row>
    <row r="341" ht="13.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  <c r="AD341" s="138"/>
      <c r="AE341" s="138"/>
      <c r="AF341" s="138"/>
      <c r="AG341" s="138"/>
    </row>
    <row r="342" ht="13.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  <c r="AD342" s="138"/>
      <c r="AE342" s="138"/>
      <c r="AF342" s="138"/>
      <c r="AG342" s="138"/>
    </row>
    <row r="343" ht="13.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  <c r="AD343" s="138"/>
      <c r="AE343" s="138"/>
      <c r="AF343" s="138"/>
      <c r="AG343" s="138"/>
    </row>
    <row r="344" ht="13.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  <c r="AD344" s="138"/>
      <c r="AE344" s="138"/>
      <c r="AF344" s="138"/>
      <c r="AG344" s="138"/>
    </row>
    <row r="345" ht="13.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  <c r="AD345" s="138"/>
      <c r="AE345" s="138"/>
      <c r="AF345" s="138"/>
      <c r="AG345" s="138"/>
    </row>
    <row r="346" ht="13.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  <c r="AE346" s="138"/>
      <c r="AF346" s="138"/>
      <c r="AG346" s="138"/>
    </row>
    <row r="347" ht="13.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  <c r="AD347" s="138"/>
      <c r="AE347" s="138"/>
      <c r="AF347" s="138"/>
      <c r="AG347" s="138"/>
    </row>
    <row r="348" ht="13.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  <c r="AD348" s="138"/>
      <c r="AE348" s="138"/>
      <c r="AF348" s="138"/>
      <c r="AG348" s="138"/>
    </row>
    <row r="349" ht="13.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  <c r="AD349" s="138"/>
      <c r="AE349" s="138"/>
      <c r="AF349" s="138"/>
      <c r="AG349" s="138"/>
    </row>
    <row r="350" ht="13.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  <c r="AD350" s="138"/>
      <c r="AE350" s="138"/>
      <c r="AF350" s="138"/>
      <c r="AG350" s="138"/>
    </row>
    <row r="351" ht="13.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  <c r="AD351" s="138"/>
      <c r="AE351" s="138"/>
      <c r="AF351" s="138"/>
      <c r="AG351" s="138"/>
    </row>
    <row r="352" ht="13.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  <c r="AE352" s="138"/>
      <c r="AF352" s="138"/>
      <c r="AG352" s="138"/>
    </row>
    <row r="353" ht="13.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38"/>
      <c r="AD353" s="138"/>
      <c r="AE353" s="138"/>
      <c r="AF353" s="138"/>
      <c r="AG353" s="138"/>
    </row>
    <row r="354" ht="13.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  <c r="AD354" s="138"/>
      <c r="AE354" s="138"/>
      <c r="AF354" s="138"/>
      <c r="AG354" s="138"/>
    </row>
    <row r="355" ht="13.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  <c r="AD355" s="138"/>
      <c r="AE355" s="138"/>
      <c r="AF355" s="138"/>
      <c r="AG355" s="138"/>
    </row>
    <row r="356" ht="13.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38"/>
      <c r="AD356" s="138"/>
      <c r="AE356" s="138"/>
      <c r="AF356" s="138"/>
      <c r="AG356" s="138"/>
    </row>
    <row r="357" ht="13.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38"/>
      <c r="AD357" s="138"/>
      <c r="AE357" s="138"/>
      <c r="AF357" s="138"/>
      <c r="AG357" s="138"/>
    </row>
    <row r="358" ht="13.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  <c r="AE358" s="138"/>
      <c r="AF358" s="138"/>
      <c r="AG358" s="138"/>
    </row>
    <row r="359" ht="13.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38"/>
      <c r="AD359" s="138"/>
      <c r="AE359" s="138"/>
      <c r="AF359" s="138"/>
      <c r="AG359" s="138"/>
    </row>
    <row r="360" ht="13.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  <c r="AD360" s="138"/>
      <c r="AE360" s="138"/>
      <c r="AF360" s="138"/>
      <c r="AG360" s="138"/>
    </row>
    <row r="361" ht="13.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  <c r="AD361" s="138"/>
      <c r="AE361" s="138"/>
      <c r="AF361" s="138"/>
      <c r="AG361" s="138"/>
    </row>
    <row r="362" ht="13.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  <c r="AD362" s="138"/>
      <c r="AE362" s="138"/>
      <c r="AF362" s="138"/>
      <c r="AG362" s="138"/>
    </row>
    <row r="363" ht="13.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38"/>
      <c r="AD363" s="138"/>
      <c r="AE363" s="138"/>
      <c r="AF363" s="138"/>
      <c r="AG363" s="138"/>
    </row>
    <row r="364" ht="13.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  <c r="AE364" s="138"/>
      <c r="AF364" s="138"/>
      <c r="AG364" s="138"/>
    </row>
    <row r="365" ht="13.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38"/>
      <c r="AD365" s="138"/>
      <c r="AE365" s="138"/>
      <c r="AF365" s="138"/>
      <c r="AG365" s="138"/>
    </row>
    <row r="366" ht="13.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38"/>
      <c r="AD366" s="138"/>
      <c r="AE366" s="138"/>
      <c r="AF366" s="138"/>
      <c r="AG366" s="138"/>
    </row>
    <row r="367" ht="13.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  <c r="AE367" s="138"/>
      <c r="AF367" s="138"/>
      <c r="AG367" s="138"/>
    </row>
    <row r="368" ht="13.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38"/>
      <c r="AD368" s="138"/>
      <c r="AE368" s="138"/>
      <c r="AF368" s="138"/>
      <c r="AG368" s="138"/>
    </row>
    <row r="369" ht="13.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38"/>
      <c r="AD369" s="138"/>
      <c r="AE369" s="138"/>
      <c r="AF369" s="138"/>
      <c r="AG369" s="138"/>
    </row>
    <row r="370" ht="13.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  <c r="AE370" s="138"/>
      <c r="AF370" s="138"/>
      <c r="AG370" s="138"/>
    </row>
    <row r="371" ht="13.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38"/>
      <c r="AD371" s="138"/>
      <c r="AE371" s="138"/>
      <c r="AF371" s="138"/>
      <c r="AG371" s="138"/>
    </row>
    <row r="372" ht="13.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  <c r="AD372" s="138"/>
      <c r="AE372" s="138"/>
      <c r="AF372" s="138"/>
      <c r="AG372" s="138"/>
    </row>
    <row r="373" ht="13.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38"/>
      <c r="AD373" s="138"/>
      <c r="AE373" s="138"/>
      <c r="AF373" s="138"/>
      <c r="AG373" s="138"/>
    </row>
    <row r="374" ht="13.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  <c r="AD374" s="138"/>
      <c r="AE374" s="138"/>
      <c r="AF374" s="138"/>
      <c r="AG374" s="138"/>
    </row>
    <row r="375" ht="13.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  <c r="AD375" s="138"/>
      <c r="AE375" s="138"/>
      <c r="AF375" s="138"/>
      <c r="AG375" s="138"/>
    </row>
    <row r="376" ht="13.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  <c r="AE376" s="138"/>
      <c r="AF376" s="138"/>
      <c r="AG376" s="138"/>
    </row>
    <row r="377" ht="13.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  <c r="AD377" s="138"/>
      <c r="AE377" s="138"/>
      <c r="AF377" s="138"/>
      <c r="AG377" s="138"/>
    </row>
    <row r="378" ht="13.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  <c r="AD378" s="138"/>
      <c r="AE378" s="138"/>
      <c r="AF378" s="138"/>
      <c r="AG378" s="138"/>
    </row>
    <row r="379" ht="13.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  <c r="AD379" s="138"/>
      <c r="AE379" s="138"/>
      <c r="AF379" s="138"/>
      <c r="AG379" s="138"/>
    </row>
    <row r="380" ht="13.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  <c r="AD380" s="138"/>
      <c r="AE380" s="138"/>
      <c r="AF380" s="138"/>
      <c r="AG380" s="138"/>
    </row>
    <row r="381" ht="13.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38"/>
      <c r="AD381" s="138"/>
      <c r="AE381" s="138"/>
      <c r="AF381" s="138"/>
      <c r="AG381" s="138"/>
    </row>
    <row r="382" ht="13.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  <c r="AD382" s="138"/>
      <c r="AE382" s="138"/>
      <c r="AF382" s="138"/>
      <c r="AG382" s="138"/>
    </row>
    <row r="383" ht="13.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38"/>
      <c r="AD383" s="138"/>
      <c r="AE383" s="138"/>
      <c r="AF383" s="138"/>
      <c r="AG383" s="138"/>
    </row>
    <row r="384" ht="13.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  <c r="AD384" s="138"/>
      <c r="AE384" s="138"/>
      <c r="AF384" s="138"/>
      <c r="AG384" s="138"/>
    </row>
    <row r="385" ht="13.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38"/>
      <c r="AD385" s="138"/>
      <c r="AE385" s="138"/>
      <c r="AF385" s="138"/>
      <c r="AG385" s="138"/>
    </row>
    <row r="386" ht="13.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38"/>
      <c r="AD386" s="138"/>
      <c r="AE386" s="138"/>
      <c r="AF386" s="138"/>
      <c r="AG386" s="138"/>
    </row>
    <row r="387" ht="13.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38"/>
      <c r="AD387" s="138"/>
      <c r="AE387" s="138"/>
      <c r="AF387" s="138"/>
      <c r="AG387" s="138"/>
    </row>
    <row r="388" ht="13.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  <c r="AD388" s="138"/>
      <c r="AE388" s="138"/>
      <c r="AF388" s="138"/>
      <c r="AG388" s="138"/>
    </row>
    <row r="389" ht="13.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38"/>
      <c r="AD389" s="138"/>
      <c r="AE389" s="138"/>
      <c r="AF389" s="138"/>
      <c r="AG389" s="138"/>
    </row>
    <row r="390" ht="13.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  <c r="AD390" s="138"/>
      <c r="AE390" s="138"/>
      <c r="AF390" s="138"/>
      <c r="AG390" s="138"/>
    </row>
    <row r="391" ht="13.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  <c r="AD391" s="138"/>
      <c r="AE391" s="138"/>
      <c r="AF391" s="138"/>
      <c r="AG391" s="138"/>
    </row>
    <row r="392" ht="13.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38"/>
      <c r="AD392" s="138"/>
      <c r="AE392" s="138"/>
      <c r="AF392" s="138"/>
      <c r="AG392" s="138"/>
    </row>
    <row r="393" ht="13.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38"/>
      <c r="AD393" s="138"/>
      <c r="AE393" s="138"/>
      <c r="AF393" s="138"/>
      <c r="AG393" s="138"/>
    </row>
    <row r="394" ht="13.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38"/>
    </row>
    <row r="395" ht="13.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  <c r="AD395" s="138"/>
      <c r="AE395" s="138"/>
      <c r="AF395" s="138"/>
      <c r="AG395" s="138"/>
    </row>
    <row r="396" ht="13.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  <c r="AD396" s="138"/>
      <c r="AE396" s="138"/>
      <c r="AF396" s="138"/>
      <c r="AG396" s="138"/>
    </row>
    <row r="397" ht="13.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  <c r="AD397" s="138"/>
      <c r="AE397" s="138"/>
      <c r="AF397" s="138"/>
      <c r="AG397" s="138"/>
    </row>
    <row r="398" ht="13.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38"/>
      <c r="AD398" s="138"/>
      <c r="AE398" s="138"/>
      <c r="AF398" s="138"/>
      <c r="AG398" s="138"/>
    </row>
    <row r="399" ht="13.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  <c r="AE399" s="138"/>
      <c r="AF399" s="138"/>
      <c r="AG399" s="138"/>
    </row>
    <row r="400" ht="13.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  <c r="AD400" s="138"/>
      <c r="AE400" s="138"/>
      <c r="AF400" s="138"/>
      <c r="AG400" s="138"/>
    </row>
    <row r="401" ht="13.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  <c r="AD401" s="138"/>
      <c r="AE401" s="138"/>
      <c r="AF401" s="138"/>
      <c r="AG401" s="138"/>
    </row>
    <row r="402" ht="13.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</row>
    <row r="403" ht="13.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</row>
    <row r="404" ht="13.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  <c r="AE404" s="138"/>
      <c r="AF404" s="138"/>
      <c r="AG404" s="138"/>
    </row>
    <row r="405" ht="13.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  <c r="AD405" s="138"/>
      <c r="AE405" s="138"/>
      <c r="AF405" s="138"/>
      <c r="AG405" s="138"/>
    </row>
    <row r="406" ht="13.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  <c r="AE406" s="138"/>
      <c r="AF406" s="138"/>
      <c r="AG406" s="138"/>
    </row>
    <row r="407" ht="13.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</row>
    <row r="408" ht="13.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</row>
    <row r="409" ht="13.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</row>
    <row r="410" ht="13.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</row>
    <row r="411" ht="13.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</row>
    <row r="412" ht="13.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  <c r="AE412" s="138"/>
      <c r="AF412" s="138"/>
      <c r="AG412" s="138"/>
    </row>
    <row r="413" ht="13.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  <c r="AD413" s="138"/>
      <c r="AE413" s="138"/>
      <c r="AF413" s="138"/>
      <c r="AG413" s="138"/>
    </row>
    <row r="414" ht="13.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  <c r="AD414" s="138"/>
      <c r="AE414" s="138"/>
      <c r="AF414" s="138"/>
      <c r="AG414" s="138"/>
    </row>
    <row r="415" ht="13.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  <c r="AD415" s="138"/>
      <c r="AE415" s="138"/>
      <c r="AF415" s="138"/>
      <c r="AG415" s="138"/>
    </row>
    <row r="416" ht="13.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  <c r="AD416" s="138"/>
      <c r="AE416" s="138"/>
      <c r="AF416" s="138"/>
      <c r="AG416" s="138"/>
    </row>
    <row r="417" ht="13.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  <c r="AE417" s="138"/>
      <c r="AF417" s="138"/>
      <c r="AG417" s="138"/>
    </row>
    <row r="418" ht="13.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  <c r="AD418" s="138"/>
      <c r="AE418" s="138"/>
      <c r="AF418" s="138"/>
      <c r="AG418" s="138"/>
    </row>
    <row r="419" ht="13.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  <c r="AD419" s="138"/>
      <c r="AE419" s="138"/>
      <c r="AF419" s="138"/>
      <c r="AG419" s="138"/>
    </row>
    <row r="420" ht="13.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38"/>
      <c r="AD420" s="138"/>
      <c r="AE420" s="138"/>
      <c r="AF420" s="138"/>
      <c r="AG420" s="138"/>
    </row>
    <row r="421" ht="13.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  <c r="AD421" s="138"/>
      <c r="AE421" s="138"/>
      <c r="AF421" s="138"/>
      <c r="AG421" s="138"/>
    </row>
    <row r="422" ht="13.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  <c r="AD422" s="138"/>
      <c r="AE422" s="138"/>
      <c r="AF422" s="138"/>
      <c r="AG422" s="138"/>
    </row>
    <row r="423" ht="13.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38"/>
      <c r="AD423" s="138"/>
      <c r="AE423" s="138"/>
      <c r="AF423" s="138"/>
      <c r="AG423" s="138"/>
    </row>
    <row r="424" ht="13.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38"/>
      <c r="AD424" s="138"/>
      <c r="AE424" s="138"/>
      <c r="AF424" s="138"/>
      <c r="AG424" s="138"/>
    </row>
    <row r="425" ht="13.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  <c r="AD425" s="138"/>
      <c r="AE425" s="138"/>
      <c r="AF425" s="138"/>
      <c r="AG425" s="138"/>
    </row>
    <row r="426" ht="13.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38"/>
      <c r="AD426" s="138"/>
      <c r="AE426" s="138"/>
      <c r="AF426" s="138"/>
      <c r="AG426" s="138"/>
    </row>
    <row r="427" ht="13.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38"/>
      <c r="AD427" s="138"/>
      <c r="AE427" s="138"/>
      <c r="AF427" s="138"/>
      <c r="AG427" s="138"/>
    </row>
    <row r="428" ht="13.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38"/>
      <c r="AD428" s="138"/>
      <c r="AE428" s="138"/>
      <c r="AF428" s="138"/>
      <c r="AG428" s="138"/>
    </row>
    <row r="429" ht="13.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  <c r="AD429" s="138"/>
      <c r="AE429" s="138"/>
      <c r="AF429" s="138"/>
      <c r="AG429" s="138"/>
    </row>
    <row r="430" ht="13.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  <c r="AD430" s="138"/>
      <c r="AE430" s="138"/>
      <c r="AF430" s="138"/>
      <c r="AG430" s="138"/>
    </row>
    <row r="431" ht="13.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  <c r="AE431" s="138"/>
      <c r="AF431" s="138"/>
      <c r="AG431" s="138"/>
    </row>
    <row r="432" ht="13.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  <c r="AD432" s="138"/>
      <c r="AE432" s="138"/>
      <c r="AF432" s="138"/>
      <c r="AG432" s="138"/>
    </row>
    <row r="433" ht="13.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38"/>
      <c r="AD433" s="138"/>
      <c r="AE433" s="138"/>
      <c r="AF433" s="138"/>
      <c r="AG433" s="138"/>
    </row>
    <row r="434" ht="13.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  <c r="AE434" s="138"/>
      <c r="AF434" s="138"/>
      <c r="AG434" s="138"/>
    </row>
    <row r="435" ht="13.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  <c r="AD435" s="138"/>
      <c r="AE435" s="138"/>
      <c r="AF435" s="138"/>
      <c r="AG435" s="138"/>
    </row>
    <row r="436" ht="13.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38"/>
      <c r="AD436" s="138"/>
      <c r="AE436" s="138"/>
      <c r="AF436" s="138"/>
      <c r="AG436" s="138"/>
    </row>
    <row r="437" ht="13.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38"/>
      <c r="AD437" s="138"/>
      <c r="AE437" s="138"/>
      <c r="AF437" s="138"/>
      <c r="AG437" s="138"/>
    </row>
    <row r="438" ht="13.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  <c r="AD438" s="138"/>
      <c r="AE438" s="138"/>
      <c r="AF438" s="138"/>
      <c r="AG438" s="138"/>
    </row>
    <row r="439" ht="13.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38"/>
      <c r="AD439" s="138"/>
      <c r="AE439" s="138"/>
      <c r="AF439" s="138"/>
      <c r="AG439" s="138"/>
    </row>
    <row r="440" ht="13.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38"/>
      <c r="AD440" s="138"/>
      <c r="AE440" s="138"/>
      <c r="AF440" s="138"/>
      <c r="AG440" s="138"/>
    </row>
    <row r="441" ht="13.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38"/>
      <c r="AD441" s="138"/>
      <c r="AE441" s="138"/>
      <c r="AF441" s="138"/>
      <c r="AG441" s="138"/>
    </row>
    <row r="442" ht="13.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38"/>
      <c r="AD442" s="138"/>
      <c r="AE442" s="138"/>
      <c r="AF442" s="138"/>
      <c r="AG442" s="138"/>
    </row>
    <row r="443" ht="13.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38"/>
      <c r="AD443" s="138"/>
      <c r="AE443" s="138"/>
      <c r="AF443" s="138"/>
      <c r="AG443" s="138"/>
    </row>
    <row r="444" ht="13.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38"/>
      <c r="AD444" s="138"/>
      <c r="AE444" s="138"/>
      <c r="AF444" s="138"/>
      <c r="AG444" s="138"/>
    </row>
    <row r="445" ht="13.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  <c r="AD445" s="138"/>
      <c r="AE445" s="138"/>
      <c r="AF445" s="138"/>
      <c r="AG445" s="138"/>
    </row>
    <row r="446" ht="13.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  <c r="AD446" s="138"/>
      <c r="AE446" s="138"/>
      <c r="AF446" s="138"/>
      <c r="AG446" s="138"/>
    </row>
    <row r="447" ht="13.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38"/>
      <c r="AD447" s="138"/>
      <c r="AE447" s="138"/>
      <c r="AF447" s="138"/>
      <c r="AG447" s="138"/>
    </row>
    <row r="448" ht="13.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  <c r="AD448" s="138"/>
      <c r="AE448" s="138"/>
      <c r="AF448" s="138"/>
      <c r="AG448" s="138"/>
    </row>
    <row r="449" ht="13.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38"/>
      <c r="AD449" s="138"/>
      <c r="AE449" s="138"/>
      <c r="AF449" s="138"/>
      <c r="AG449" s="138"/>
    </row>
    <row r="450" ht="13.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  <c r="AD450" s="138"/>
      <c r="AE450" s="138"/>
      <c r="AF450" s="138"/>
      <c r="AG450" s="138"/>
    </row>
    <row r="451" ht="13.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  <c r="AD451" s="138"/>
      <c r="AE451" s="138"/>
      <c r="AF451" s="138"/>
      <c r="AG451" s="138"/>
    </row>
    <row r="452" ht="13.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  <c r="AG452" s="138"/>
    </row>
    <row r="453" ht="13.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38"/>
      <c r="AD453" s="138"/>
      <c r="AE453" s="138"/>
      <c r="AF453" s="138"/>
      <c r="AG453" s="138"/>
    </row>
    <row r="454" ht="13.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  <c r="AD454" s="138"/>
      <c r="AE454" s="138"/>
      <c r="AF454" s="138"/>
      <c r="AG454" s="138"/>
    </row>
    <row r="455" ht="13.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38"/>
      <c r="AD455" s="138"/>
      <c r="AE455" s="138"/>
      <c r="AF455" s="138"/>
      <c r="AG455" s="138"/>
    </row>
    <row r="456" ht="13.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  <c r="AD456" s="138"/>
      <c r="AE456" s="138"/>
      <c r="AF456" s="138"/>
      <c r="AG456" s="138"/>
    </row>
    <row r="457" ht="13.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  <c r="AD457" s="138"/>
      <c r="AE457" s="138"/>
      <c r="AF457" s="138"/>
      <c r="AG457" s="138"/>
    </row>
    <row r="458" ht="13.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  <c r="AD458" s="138"/>
      <c r="AE458" s="138"/>
      <c r="AF458" s="138"/>
      <c r="AG458" s="138"/>
    </row>
    <row r="459" ht="13.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38"/>
      <c r="AD459" s="138"/>
      <c r="AE459" s="138"/>
      <c r="AF459" s="138"/>
      <c r="AG459" s="138"/>
    </row>
    <row r="460" ht="13.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  <c r="AD460" s="138"/>
      <c r="AE460" s="138"/>
      <c r="AF460" s="138"/>
      <c r="AG460" s="138"/>
    </row>
    <row r="461" ht="13.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38"/>
      <c r="AD461" s="138"/>
      <c r="AE461" s="138"/>
      <c r="AF461" s="138"/>
      <c r="AG461" s="138"/>
    </row>
    <row r="462" ht="13.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  <c r="AD462" s="138"/>
      <c r="AE462" s="138"/>
      <c r="AF462" s="138"/>
      <c r="AG462" s="138"/>
    </row>
    <row r="463" ht="13.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  <c r="AD463" s="138"/>
      <c r="AE463" s="138"/>
      <c r="AF463" s="138"/>
      <c r="AG463" s="138"/>
    </row>
    <row r="464" ht="13.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  <c r="AD464" s="138"/>
      <c r="AE464" s="138"/>
      <c r="AF464" s="138"/>
      <c r="AG464" s="138"/>
    </row>
    <row r="465" ht="13.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38"/>
      <c r="AD465" s="138"/>
      <c r="AE465" s="138"/>
      <c r="AF465" s="138"/>
      <c r="AG465" s="138"/>
    </row>
    <row r="466" ht="13.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/>
      <c r="AD466" s="138"/>
      <c r="AE466" s="138"/>
      <c r="AF466" s="138"/>
      <c r="AG466" s="138"/>
    </row>
    <row r="467" ht="13.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38"/>
      <c r="AD467" s="138"/>
      <c r="AE467" s="138"/>
      <c r="AF467" s="138"/>
      <c r="AG467" s="138"/>
    </row>
    <row r="468" ht="13.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38"/>
      <c r="AD468" s="138"/>
      <c r="AE468" s="138"/>
      <c r="AF468" s="138"/>
      <c r="AG468" s="138"/>
    </row>
    <row r="469" ht="13.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38"/>
      <c r="AD469" s="138"/>
      <c r="AE469" s="138"/>
      <c r="AF469" s="138"/>
      <c r="AG469" s="138"/>
    </row>
    <row r="470" ht="13.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  <c r="AD470" s="138"/>
      <c r="AE470" s="138"/>
      <c r="AF470" s="138"/>
      <c r="AG470" s="138"/>
    </row>
    <row r="471" ht="13.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38"/>
      <c r="AD471" s="138"/>
      <c r="AE471" s="138"/>
      <c r="AF471" s="138"/>
      <c r="AG471" s="138"/>
    </row>
    <row r="472" ht="13.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  <c r="AD472" s="138"/>
      <c r="AE472" s="138"/>
      <c r="AF472" s="138"/>
      <c r="AG472" s="138"/>
    </row>
    <row r="473" ht="13.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38"/>
      <c r="AD473" s="138"/>
      <c r="AE473" s="138"/>
      <c r="AF473" s="138"/>
      <c r="AG473" s="138"/>
    </row>
    <row r="474" ht="13.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  <c r="AD474" s="138"/>
      <c r="AE474" s="138"/>
      <c r="AF474" s="138"/>
      <c r="AG474" s="138"/>
    </row>
    <row r="475" ht="13.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38"/>
      <c r="AD475" s="138"/>
      <c r="AE475" s="138"/>
      <c r="AF475" s="138"/>
      <c r="AG475" s="138"/>
    </row>
    <row r="476" ht="13.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  <c r="AD476" s="138"/>
      <c r="AE476" s="138"/>
      <c r="AF476" s="138"/>
      <c r="AG476" s="138"/>
    </row>
    <row r="477" ht="13.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  <c r="AD477" s="138"/>
      <c r="AE477" s="138"/>
      <c r="AF477" s="138"/>
      <c r="AG477" s="138"/>
    </row>
    <row r="478" ht="13.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  <c r="AD478" s="138"/>
      <c r="AE478" s="138"/>
      <c r="AF478" s="138"/>
      <c r="AG478" s="138"/>
    </row>
    <row r="479" ht="13.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38"/>
      <c r="AD479" s="138"/>
      <c r="AE479" s="138"/>
      <c r="AF479" s="138"/>
      <c r="AG479" s="138"/>
    </row>
    <row r="480" ht="13.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  <c r="AD480" s="138"/>
      <c r="AE480" s="138"/>
      <c r="AF480" s="138"/>
      <c r="AG480" s="138"/>
    </row>
    <row r="481" ht="13.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38"/>
      <c r="AD481" s="138"/>
      <c r="AE481" s="138"/>
      <c r="AF481" s="138"/>
      <c r="AG481" s="138"/>
    </row>
    <row r="482" ht="13.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  <c r="AD482" s="138"/>
      <c r="AE482" s="138"/>
      <c r="AF482" s="138"/>
      <c r="AG482" s="138"/>
    </row>
    <row r="483" ht="13.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38"/>
      <c r="AD483" s="138"/>
      <c r="AE483" s="138"/>
      <c r="AF483" s="138"/>
      <c r="AG483" s="138"/>
    </row>
    <row r="484" ht="13.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  <c r="AD484" s="138"/>
      <c r="AE484" s="138"/>
      <c r="AF484" s="138"/>
      <c r="AG484" s="138"/>
    </row>
    <row r="485" ht="13.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38"/>
      <c r="AD485" s="138"/>
      <c r="AE485" s="138"/>
      <c r="AF485" s="138"/>
      <c r="AG485" s="138"/>
    </row>
    <row r="486" ht="13.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  <c r="AD486" s="138"/>
      <c r="AE486" s="138"/>
      <c r="AF486" s="138"/>
      <c r="AG486" s="138"/>
    </row>
    <row r="487" ht="13.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  <c r="AD487" s="138"/>
      <c r="AE487" s="138"/>
      <c r="AF487" s="138"/>
      <c r="AG487" s="138"/>
    </row>
    <row r="488" ht="13.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38"/>
      <c r="AD488" s="138"/>
      <c r="AE488" s="138"/>
      <c r="AF488" s="138"/>
      <c r="AG488" s="138"/>
    </row>
    <row r="489" ht="13.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38"/>
      <c r="AD489" s="138"/>
      <c r="AE489" s="138"/>
      <c r="AF489" s="138"/>
      <c r="AG489" s="138"/>
    </row>
    <row r="490" ht="13.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  <c r="AD490" s="138"/>
      <c r="AE490" s="138"/>
      <c r="AF490" s="138"/>
      <c r="AG490" s="138"/>
    </row>
    <row r="491" ht="13.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  <c r="AD491" s="138"/>
      <c r="AE491" s="138"/>
      <c r="AF491" s="138"/>
      <c r="AG491" s="138"/>
    </row>
    <row r="492" ht="13.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  <c r="AD492" s="138"/>
      <c r="AE492" s="138"/>
      <c r="AF492" s="138"/>
      <c r="AG492" s="138"/>
    </row>
    <row r="493" ht="13.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  <c r="AD493" s="138"/>
      <c r="AE493" s="138"/>
      <c r="AF493" s="138"/>
      <c r="AG493" s="138"/>
    </row>
    <row r="494" ht="13.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  <c r="AD494" s="138"/>
      <c r="AE494" s="138"/>
      <c r="AF494" s="138"/>
      <c r="AG494" s="138"/>
    </row>
    <row r="495" ht="13.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  <c r="AD495" s="138"/>
      <c r="AE495" s="138"/>
      <c r="AF495" s="138"/>
      <c r="AG495" s="138"/>
    </row>
    <row r="496" ht="13.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  <c r="AD496" s="138"/>
      <c r="AE496" s="138"/>
      <c r="AF496" s="138"/>
      <c r="AG496" s="138"/>
    </row>
    <row r="497" ht="13.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  <c r="AD497" s="138"/>
      <c r="AE497" s="138"/>
      <c r="AF497" s="138"/>
      <c r="AG497" s="138"/>
    </row>
    <row r="498" ht="13.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  <c r="AD498" s="138"/>
      <c r="AE498" s="138"/>
      <c r="AF498" s="138"/>
      <c r="AG498" s="138"/>
    </row>
    <row r="499" ht="13.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38"/>
      <c r="AD499" s="138"/>
      <c r="AE499" s="138"/>
      <c r="AF499" s="138"/>
      <c r="AG499" s="138"/>
    </row>
    <row r="500" ht="13.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  <c r="AD500" s="138"/>
      <c r="AE500" s="138"/>
      <c r="AF500" s="138"/>
      <c r="AG500" s="138"/>
    </row>
    <row r="501" ht="13.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  <c r="AD501" s="138"/>
      <c r="AE501" s="138"/>
      <c r="AF501" s="138"/>
      <c r="AG501" s="138"/>
    </row>
    <row r="502" ht="13.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  <c r="AD502" s="138"/>
      <c r="AE502" s="138"/>
      <c r="AF502" s="138"/>
      <c r="AG502" s="138"/>
    </row>
    <row r="503" ht="13.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  <c r="AD503" s="138"/>
      <c r="AE503" s="138"/>
      <c r="AF503" s="138"/>
      <c r="AG503" s="138"/>
    </row>
    <row r="504" ht="13.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  <c r="AD504" s="138"/>
      <c r="AE504" s="138"/>
      <c r="AF504" s="138"/>
      <c r="AG504" s="138"/>
    </row>
    <row r="505" ht="13.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  <c r="AD505" s="138"/>
      <c r="AE505" s="138"/>
      <c r="AF505" s="138"/>
      <c r="AG505" s="138"/>
    </row>
    <row r="506" ht="13.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  <c r="AD506" s="138"/>
      <c r="AE506" s="138"/>
      <c r="AF506" s="138"/>
      <c r="AG506" s="138"/>
    </row>
    <row r="507" ht="13.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  <c r="AD507" s="138"/>
      <c r="AE507" s="138"/>
      <c r="AF507" s="138"/>
      <c r="AG507" s="138"/>
    </row>
    <row r="508" ht="13.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  <c r="AD508" s="138"/>
      <c r="AE508" s="138"/>
      <c r="AF508" s="138"/>
      <c r="AG508" s="138"/>
    </row>
    <row r="509" ht="13.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  <c r="AD509" s="138"/>
      <c r="AE509" s="138"/>
      <c r="AF509" s="138"/>
      <c r="AG509" s="138"/>
    </row>
    <row r="510" ht="13.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  <c r="AD510" s="138"/>
      <c r="AE510" s="138"/>
      <c r="AF510" s="138"/>
      <c r="AG510" s="138"/>
    </row>
    <row r="511" ht="13.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38"/>
      <c r="AD511" s="138"/>
      <c r="AE511" s="138"/>
      <c r="AF511" s="138"/>
      <c r="AG511" s="138"/>
    </row>
    <row r="512" ht="13.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  <c r="AD512" s="138"/>
      <c r="AE512" s="138"/>
      <c r="AF512" s="138"/>
      <c r="AG512" s="138"/>
    </row>
    <row r="513" ht="13.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  <c r="AD513" s="138"/>
      <c r="AE513" s="138"/>
      <c r="AF513" s="138"/>
      <c r="AG513" s="138"/>
    </row>
    <row r="514" ht="13.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  <c r="AD514" s="138"/>
      <c r="AE514" s="138"/>
      <c r="AF514" s="138"/>
      <c r="AG514" s="138"/>
    </row>
    <row r="515" ht="13.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38"/>
      <c r="AD515" s="138"/>
      <c r="AE515" s="138"/>
      <c r="AF515" s="138"/>
      <c r="AG515" s="138"/>
    </row>
    <row r="516" ht="13.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  <c r="AD516" s="138"/>
      <c r="AE516" s="138"/>
      <c r="AF516" s="138"/>
      <c r="AG516" s="138"/>
    </row>
    <row r="517" ht="13.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38"/>
      <c r="AD517" s="138"/>
      <c r="AE517" s="138"/>
      <c r="AF517" s="138"/>
      <c r="AG517" s="138"/>
    </row>
    <row r="518" ht="13.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  <c r="AD518" s="138"/>
      <c r="AE518" s="138"/>
      <c r="AF518" s="138"/>
      <c r="AG518" s="138"/>
    </row>
    <row r="519" ht="13.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38"/>
      <c r="AD519" s="138"/>
      <c r="AE519" s="138"/>
      <c r="AF519" s="138"/>
      <c r="AG519" s="138"/>
    </row>
    <row r="520" ht="13.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  <c r="AD520" s="138"/>
      <c r="AE520" s="138"/>
      <c r="AF520" s="138"/>
      <c r="AG520" s="138"/>
    </row>
    <row r="521" ht="13.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38"/>
      <c r="AD521" s="138"/>
      <c r="AE521" s="138"/>
      <c r="AF521" s="138"/>
      <c r="AG521" s="138"/>
    </row>
    <row r="522" ht="13.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38"/>
      <c r="AD522" s="138"/>
      <c r="AE522" s="138"/>
      <c r="AF522" s="138"/>
      <c r="AG522" s="138"/>
    </row>
    <row r="523" ht="13.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  <c r="AD523" s="138"/>
      <c r="AE523" s="138"/>
      <c r="AF523" s="138"/>
      <c r="AG523" s="138"/>
    </row>
    <row r="524" ht="13.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  <c r="AD524" s="138"/>
      <c r="AE524" s="138"/>
      <c r="AF524" s="138"/>
      <c r="AG524" s="138"/>
    </row>
    <row r="525" ht="13.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38"/>
      <c r="AD525" s="138"/>
      <c r="AE525" s="138"/>
      <c r="AF525" s="138"/>
      <c r="AG525" s="138"/>
    </row>
    <row r="526" ht="13.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  <c r="AD526" s="138"/>
      <c r="AE526" s="138"/>
      <c r="AF526" s="138"/>
      <c r="AG526" s="138"/>
    </row>
    <row r="527" ht="13.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  <c r="AD527" s="138"/>
      <c r="AE527" s="138"/>
      <c r="AF527" s="138"/>
      <c r="AG527" s="138"/>
    </row>
    <row r="528" ht="13.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  <c r="AD528" s="138"/>
      <c r="AE528" s="138"/>
      <c r="AF528" s="138"/>
      <c r="AG528" s="138"/>
    </row>
    <row r="529" ht="13.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38"/>
      <c r="AD529" s="138"/>
      <c r="AE529" s="138"/>
      <c r="AF529" s="138"/>
      <c r="AG529" s="138"/>
    </row>
    <row r="530" ht="13.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  <c r="AD530" s="138"/>
      <c r="AE530" s="138"/>
      <c r="AF530" s="138"/>
      <c r="AG530" s="138"/>
    </row>
    <row r="531" ht="13.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  <c r="AD531" s="138"/>
      <c r="AE531" s="138"/>
      <c r="AF531" s="138"/>
      <c r="AG531" s="138"/>
    </row>
    <row r="532" ht="13.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  <c r="AD532" s="138"/>
      <c r="AE532" s="138"/>
      <c r="AF532" s="138"/>
      <c r="AG532" s="138"/>
    </row>
    <row r="533" ht="13.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38"/>
      <c r="AD533" s="138"/>
      <c r="AE533" s="138"/>
      <c r="AF533" s="138"/>
      <c r="AG533" s="138"/>
    </row>
    <row r="534" ht="13.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  <c r="AD534" s="138"/>
      <c r="AE534" s="138"/>
      <c r="AF534" s="138"/>
      <c r="AG534" s="138"/>
    </row>
    <row r="535" ht="13.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  <c r="AD535" s="138"/>
      <c r="AE535" s="138"/>
      <c r="AF535" s="138"/>
      <c r="AG535" s="138"/>
    </row>
    <row r="536" ht="13.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  <c r="AD536" s="138"/>
      <c r="AE536" s="138"/>
      <c r="AF536" s="138"/>
      <c r="AG536" s="138"/>
    </row>
    <row r="537" ht="13.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38"/>
      <c r="AD537" s="138"/>
      <c r="AE537" s="138"/>
      <c r="AF537" s="138"/>
      <c r="AG537" s="138"/>
    </row>
    <row r="538" ht="13.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  <c r="AD538" s="138"/>
      <c r="AE538" s="138"/>
      <c r="AF538" s="138"/>
      <c r="AG538" s="138"/>
    </row>
    <row r="539" ht="13.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38"/>
      <c r="AD539" s="138"/>
      <c r="AE539" s="138"/>
      <c r="AF539" s="138"/>
      <c r="AG539" s="138"/>
    </row>
    <row r="540" ht="13.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38"/>
      <c r="AD540" s="138"/>
      <c r="AE540" s="138"/>
      <c r="AF540" s="138"/>
      <c r="AG540" s="138"/>
    </row>
    <row r="541" ht="13.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38"/>
      <c r="AD541" s="138"/>
      <c r="AE541" s="138"/>
      <c r="AF541" s="138"/>
      <c r="AG541" s="138"/>
    </row>
    <row r="542" ht="13.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  <c r="AD542" s="138"/>
      <c r="AE542" s="138"/>
      <c r="AF542" s="138"/>
      <c r="AG542" s="138"/>
    </row>
    <row r="543" ht="13.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  <c r="AD543" s="138"/>
      <c r="AE543" s="138"/>
      <c r="AF543" s="138"/>
      <c r="AG543" s="138"/>
    </row>
    <row r="544" ht="13.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  <c r="AE544" s="138"/>
      <c r="AF544" s="138"/>
      <c r="AG544" s="138"/>
    </row>
    <row r="545" ht="13.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38"/>
      <c r="AD545" s="138"/>
      <c r="AE545" s="138"/>
      <c r="AF545" s="138"/>
      <c r="AG545" s="138"/>
    </row>
    <row r="546" ht="13.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  <c r="AD546" s="138"/>
      <c r="AE546" s="138"/>
      <c r="AF546" s="138"/>
      <c r="AG546" s="138"/>
    </row>
    <row r="547" ht="13.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38"/>
      <c r="AD547" s="138"/>
      <c r="AE547" s="138"/>
      <c r="AF547" s="138"/>
      <c r="AG547" s="138"/>
    </row>
    <row r="548" ht="13.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38"/>
      <c r="AD548" s="138"/>
      <c r="AE548" s="138"/>
      <c r="AF548" s="138"/>
      <c r="AG548" s="138"/>
    </row>
    <row r="549" ht="13.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38"/>
      <c r="AD549" s="138"/>
      <c r="AE549" s="138"/>
      <c r="AF549" s="138"/>
      <c r="AG549" s="138"/>
    </row>
    <row r="550" ht="13.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38"/>
      <c r="AD550" s="138"/>
      <c r="AE550" s="138"/>
      <c r="AF550" s="138"/>
      <c r="AG550" s="138"/>
    </row>
    <row r="551" ht="13.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38"/>
      <c r="AD551" s="138"/>
      <c r="AE551" s="138"/>
      <c r="AF551" s="138"/>
      <c r="AG551" s="138"/>
    </row>
    <row r="552" ht="13.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38"/>
      <c r="AD552" s="138"/>
      <c r="AE552" s="138"/>
      <c r="AF552" s="138"/>
      <c r="AG552" s="138"/>
    </row>
    <row r="553" ht="13.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38"/>
      <c r="AD553" s="138"/>
      <c r="AE553" s="138"/>
      <c r="AF553" s="138"/>
      <c r="AG553" s="138"/>
    </row>
    <row r="554" ht="13.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  <c r="AD554" s="138"/>
      <c r="AE554" s="138"/>
      <c r="AF554" s="138"/>
      <c r="AG554" s="138"/>
    </row>
    <row r="555" ht="13.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38"/>
      <c r="AD555" s="138"/>
      <c r="AE555" s="138"/>
      <c r="AF555" s="138"/>
      <c r="AG555" s="138"/>
    </row>
    <row r="556" ht="13.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38"/>
      <c r="AD556" s="138"/>
      <c r="AE556" s="138"/>
      <c r="AF556" s="138"/>
      <c r="AG556" s="138"/>
    </row>
    <row r="557" ht="13.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38"/>
      <c r="AD557" s="138"/>
      <c r="AE557" s="138"/>
      <c r="AF557" s="138"/>
      <c r="AG557" s="138"/>
    </row>
    <row r="558" ht="13.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38"/>
      <c r="AD558" s="138"/>
      <c r="AE558" s="138"/>
      <c r="AF558" s="138"/>
      <c r="AG558" s="138"/>
    </row>
    <row r="559" ht="13.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38"/>
      <c r="AD559" s="138"/>
      <c r="AE559" s="138"/>
      <c r="AF559" s="138"/>
      <c r="AG559" s="138"/>
    </row>
    <row r="560" ht="13.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38"/>
      <c r="AD560" s="138"/>
      <c r="AE560" s="138"/>
      <c r="AF560" s="138"/>
      <c r="AG560" s="138"/>
    </row>
    <row r="561" ht="13.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38"/>
      <c r="AD561" s="138"/>
      <c r="AE561" s="138"/>
      <c r="AF561" s="138"/>
      <c r="AG561" s="138"/>
    </row>
    <row r="562" ht="13.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38"/>
      <c r="AD562" s="138"/>
      <c r="AE562" s="138"/>
      <c r="AF562" s="138"/>
      <c r="AG562" s="138"/>
    </row>
    <row r="563" ht="13.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38"/>
      <c r="AD563" s="138"/>
      <c r="AE563" s="138"/>
      <c r="AF563" s="138"/>
      <c r="AG563" s="138"/>
    </row>
    <row r="564" ht="13.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  <c r="AD564" s="138"/>
      <c r="AE564" s="138"/>
      <c r="AF564" s="138"/>
      <c r="AG564" s="138"/>
    </row>
    <row r="565" ht="13.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  <c r="AG565" s="138"/>
    </row>
    <row r="566" ht="13.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38"/>
      <c r="AD566" s="138"/>
      <c r="AE566" s="138"/>
      <c r="AF566" s="138"/>
      <c r="AG566" s="138"/>
    </row>
    <row r="567" ht="13.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38"/>
      <c r="AD567" s="138"/>
      <c r="AE567" s="138"/>
      <c r="AF567" s="138"/>
      <c r="AG567" s="138"/>
    </row>
    <row r="568" ht="13.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  <c r="AD568" s="138"/>
      <c r="AE568" s="138"/>
      <c r="AF568" s="138"/>
      <c r="AG568" s="138"/>
    </row>
    <row r="569" ht="13.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38"/>
      <c r="AD569" s="138"/>
      <c r="AE569" s="138"/>
      <c r="AF569" s="138"/>
      <c r="AG569" s="138"/>
    </row>
    <row r="570" ht="13.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38"/>
      <c r="AD570" s="138"/>
      <c r="AE570" s="138"/>
      <c r="AF570" s="138"/>
      <c r="AG570" s="138"/>
    </row>
    <row r="571" ht="13.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38"/>
      <c r="AD571" s="138"/>
      <c r="AE571" s="138"/>
      <c r="AF571" s="138"/>
      <c r="AG571" s="138"/>
    </row>
    <row r="572" ht="13.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38"/>
      <c r="AD572" s="138"/>
      <c r="AE572" s="138"/>
      <c r="AF572" s="138"/>
      <c r="AG572" s="138"/>
    </row>
    <row r="573" ht="13.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38"/>
      <c r="AD573" s="138"/>
      <c r="AE573" s="138"/>
      <c r="AF573" s="138"/>
      <c r="AG573" s="138"/>
    </row>
    <row r="574" ht="13.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38"/>
      <c r="AD574" s="138"/>
      <c r="AE574" s="138"/>
      <c r="AF574" s="138"/>
      <c r="AG574" s="138"/>
    </row>
    <row r="575" ht="13.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38"/>
      <c r="AD575" s="138"/>
      <c r="AE575" s="138"/>
      <c r="AF575" s="138"/>
      <c r="AG575" s="138"/>
    </row>
    <row r="576" ht="13.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38"/>
      <c r="AD576" s="138"/>
      <c r="AE576" s="138"/>
      <c r="AF576" s="138"/>
      <c r="AG576" s="138"/>
    </row>
    <row r="577" ht="13.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38"/>
      <c r="AD577" s="138"/>
      <c r="AE577" s="138"/>
      <c r="AF577" s="138"/>
      <c r="AG577" s="138"/>
    </row>
    <row r="578" ht="13.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38"/>
      <c r="AD578" s="138"/>
      <c r="AE578" s="138"/>
      <c r="AF578" s="138"/>
      <c r="AG578" s="138"/>
    </row>
    <row r="579" ht="13.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38"/>
      <c r="AD579" s="138"/>
      <c r="AE579" s="138"/>
      <c r="AF579" s="138"/>
      <c r="AG579" s="138"/>
    </row>
    <row r="580" ht="13.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38"/>
      <c r="AD580" s="138"/>
      <c r="AE580" s="138"/>
      <c r="AF580" s="138"/>
      <c r="AG580" s="138"/>
    </row>
    <row r="581" ht="13.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  <c r="AD581" s="138"/>
      <c r="AE581" s="138"/>
      <c r="AF581" s="138"/>
      <c r="AG581" s="138"/>
    </row>
    <row r="582" ht="13.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38"/>
      <c r="AD582" s="138"/>
      <c r="AE582" s="138"/>
      <c r="AF582" s="138"/>
      <c r="AG582" s="138"/>
    </row>
    <row r="583" ht="13.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  <c r="AD583" s="138"/>
      <c r="AE583" s="138"/>
      <c r="AF583" s="138"/>
      <c r="AG583" s="138"/>
    </row>
    <row r="584" ht="13.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38"/>
      <c r="AD584" s="138"/>
      <c r="AE584" s="138"/>
      <c r="AF584" s="138"/>
      <c r="AG584" s="138"/>
    </row>
    <row r="585" ht="13.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38"/>
      <c r="AD585" s="138"/>
      <c r="AE585" s="138"/>
      <c r="AF585" s="138"/>
      <c r="AG585" s="138"/>
    </row>
    <row r="586" ht="13.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  <c r="AD586" s="138"/>
      <c r="AE586" s="138"/>
      <c r="AF586" s="138"/>
      <c r="AG586" s="138"/>
    </row>
    <row r="587" ht="13.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38"/>
      <c r="AD587" s="138"/>
      <c r="AE587" s="138"/>
      <c r="AF587" s="138"/>
      <c r="AG587" s="138"/>
    </row>
    <row r="588" ht="13.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38"/>
      <c r="AD588" s="138"/>
      <c r="AE588" s="138"/>
      <c r="AF588" s="138"/>
      <c r="AG588" s="138"/>
    </row>
    <row r="589" ht="13.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38"/>
      <c r="AD589" s="138"/>
      <c r="AE589" s="138"/>
      <c r="AF589" s="138"/>
      <c r="AG589" s="138"/>
    </row>
    <row r="590" ht="13.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138"/>
      <c r="AD590" s="138"/>
      <c r="AE590" s="138"/>
      <c r="AF590" s="138"/>
      <c r="AG590" s="138"/>
    </row>
    <row r="591" ht="13.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38"/>
      <c r="AD591" s="138"/>
      <c r="AE591" s="138"/>
      <c r="AF591" s="138"/>
      <c r="AG591" s="138"/>
    </row>
    <row r="592" ht="13.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38"/>
      <c r="AD592" s="138"/>
      <c r="AE592" s="138"/>
      <c r="AF592" s="138"/>
      <c r="AG592" s="138"/>
    </row>
    <row r="593" ht="13.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38"/>
      <c r="AD593" s="138"/>
      <c r="AE593" s="138"/>
      <c r="AF593" s="138"/>
      <c r="AG593" s="138"/>
    </row>
    <row r="594" ht="13.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38"/>
      <c r="AD594" s="138"/>
      <c r="AE594" s="138"/>
      <c r="AF594" s="138"/>
      <c r="AG594" s="138"/>
    </row>
    <row r="595" ht="13.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  <c r="AD595" s="138"/>
      <c r="AE595" s="138"/>
      <c r="AF595" s="138"/>
      <c r="AG595" s="138"/>
    </row>
    <row r="596" ht="13.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38"/>
      <c r="AD596" s="138"/>
      <c r="AE596" s="138"/>
      <c r="AF596" s="138"/>
      <c r="AG596" s="138"/>
    </row>
    <row r="597" ht="13.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  <c r="AD597" s="138"/>
      <c r="AE597" s="138"/>
      <c r="AF597" s="138"/>
      <c r="AG597" s="138"/>
    </row>
    <row r="598" ht="13.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  <c r="AD598" s="138"/>
      <c r="AE598" s="138"/>
      <c r="AF598" s="138"/>
      <c r="AG598" s="138"/>
    </row>
    <row r="599" ht="13.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  <c r="AD599" s="138"/>
      <c r="AE599" s="138"/>
      <c r="AF599" s="138"/>
      <c r="AG599" s="138"/>
    </row>
    <row r="600" ht="13.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  <c r="AD600" s="138"/>
      <c r="AE600" s="138"/>
      <c r="AF600" s="138"/>
      <c r="AG600" s="138"/>
    </row>
    <row r="601" ht="13.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138"/>
      <c r="AD601" s="138"/>
      <c r="AE601" s="138"/>
      <c r="AF601" s="138"/>
      <c r="AG601" s="138"/>
    </row>
    <row r="602" ht="13.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38"/>
      <c r="AD602" s="138"/>
      <c r="AE602" s="138"/>
      <c r="AF602" s="138"/>
      <c r="AG602" s="138"/>
    </row>
    <row r="603" ht="13.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38"/>
      <c r="AD603" s="138"/>
      <c r="AE603" s="138"/>
      <c r="AF603" s="138"/>
      <c r="AG603" s="138"/>
    </row>
    <row r="604" ht="13.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38"/>
      <c r="AD604" s="138"/>
      <c r="AE604" s="138"/>
      <c r="AF604" s="138"/>
      <c r="AG604" s="138"/>
    </row>
    <row r="605" ht="13.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138"/>
      <c r="AD605" s="138"/>
      <c r="AE605" s="138"/>
      <c r="AF605" s="138"/>
      <c r="AG605" s="138"/>
    </row>
    <row r="606" ht="13.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138"/>
      <c r="AD606" s="138"/>
      <c r="AE606" s="138"/>
      <c r="AF606" s="138"/>
      <c r="AG606" s="138"/>
    </row>
    <row r="607" ht="13.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138"/>
      <c r="AD607" s="138"/>
      <c r="AE607" s="138"/>
      <c r="AF607" s="138"/>
      <c r="AG607" s="138"/>
    </row>
    <row r="608" ht="13.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38"/>
      <c r="AD608" s="138"/>
      <c r="AE608" s="138"/>
      <c r="AF608" s="138"/>
      <c r="AG608" s="138"/>
    </row>
    <row r="609" ht="13.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138"/>
      <c r="AD609" s="138"/>
      <c r="AE609" s="138"/>
      <c r="AF609" s="138"/>
      <c r="AG609" s="138"/>
    </row>
    <row r="610" ht="13.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38"/>
      <c r="AD610" s="138"/>
      <c r="AE610" s="138"/>
      <c r="AF610" s="138"/>
      <c r="AG610" s="138"/>
    </row>
    <row r="611" ht="13.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138"/>
      <c r="AD611" s="138"/>
      <c r="AE611" s="138"/>
      <c r="AF611" s="138"/>
      <c r="AG611" s="138"/>
    </row>
    <row r="612" ht="13.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38"/>
      <c r="AD612" s="138"/>
      <c r="AE612" s="138"/>
      <c r="AF612" s="138"/>
      <c r="AG612" s="138"/>
    </row>
    <row r="613" ht="13.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38"/>
      <c r="AD613" s="138"/>
      <c r="AE613" s="138"/>
      <c r="AF613" s="138"/>
      <c r="AG613" s="138"/>
    </row>
    <row r="614" ht="13.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38"/>
      <c r="AD614" s="138"/>
      <c r="AE614" s="138"/>
      <c r="AF614" s="138"/>
      <c r="AG614" s="138"/>
    </row>
    <row r="615" ht="13.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38"/>
      <c r="AD615" s="138"/>
      <c r="AE615" s="138"/>
      <c r="AF615" s="138"/>
      <c r="AG615" s="138"/>
    </row>
    <row r="616" ht="13.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138"/>
      <c r="AD616" s="138"/>
      <c r="AE616" s="138"/>
      <c r="AF616" s="138"/>
      <c r="AG616" s="138"/>
    </row>
    <row r="617" ht="13.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138"/>
      <c r="AD617" s="138"/>
      <c r="AE617" s="138"/>
      <c r="AF617" s="138"/>
      <c r="AG617" s="138"/>
    </row>
    <row r="618" ht="13.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138"/>
      <c r="AD618" s="138"/>
      <c r="AE618" s="138"/>
      <c r="AF618" s="138"/>
      <c r="AG618" s="138"/>
    </row>
    <row r="619" ht="13.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38"/>
      <c r="AD619" s="138"/>
      <c r="AE619" s="138"/>
      <c r="AF619" s="138"/>
      <c r="AG619" s="138"/>
    </row>
    <row r="620" ht="13.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138"/>
      <c r="AD620" s="138"/>
      <c r="AE620" s="138"/>
      <c r="AF620" s="138"/>
      <c r="AG620" s="138"/>
    </row>
    <row r="621" ht="13.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38"/>
      <c r="AD621" s="138"/>
      <c r="AE621" s="138"/>
      <c r="AF621" s="138"/>
      <c r="AG621" s="138"/>
    </row>
    <row r="622" ht="13.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138"/>
      <c r="AD622" s="138"/>
      <c r="AE622" s="138"/>
      <c r="AF622" s="138"/>
      <c r="AG622" s="138"/>
    </row>
    <row r="623" ht="13.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38"/>
      <c r="AD623" s="138"/>
      <c r="AE623" s="138"/>
      <c r="AF623" s="138"/>
      <c r="AG623" s="138"/>
    </row>
    <row r="624" ht="13.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138"/>
      <c r="AD624" s="138"/>
      <c r="AE624" s="138"/>
      <c r="AF624" s="138"/>
      <c r="AG624" s="138"/>
    </row>
    <row r="625" ht="13.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138"/>
      <c r="AD625" s="138"/>
      <c r="AE625" s="138"/>
      <c r="AF625" s="138"/>
      <c r="AG625" s="138"/>
    </row>
    <row r="626" ht="13.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38"/>
      <c r="AD626" s="138"/>
      <c r="AE626" s="138"/>
      <c r="AF626" s="138"/>
      <c r="AG626" s="138"/>
    </row>
    <row r="627" ht="13.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138"/>
      <c r="AD627" s="138"/>
      <c r="AE627" s="138"/>
      <c r="AF627" s="138"/>
      <c r="AG627" s="138"/>
    </row>
    <row r="628" ht="13.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38"/>
      <c r="AD628" s="138"/>
      <c r="AE628" s="138"/>
      <c r="AF628" s="138"/>
      <c r="AG628" s="138"/>
    </row>
    <row r="629" ht="13.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138"/>
      <c r="AD629" s="138"/>
      <c r="AE629" s="138"/>
      <c r="AF629" s="138"/>
      <c r="AG629" s="138"/>
    </row>
    <row r="630" ht="13.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38"/>
      <c r="AD630" s="138"/>
      <c r="AE630" s="138"/>
      <c r="AF630" s="138"/>
      <c r="AG630" s="138"/>
    </row>
    <row r="631" ht="13.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138"/>
      <c r="AD631" s="138"/>
      <c r="AE631" s="138"/>
      <c r="AF631" s="138"/>
      <c r="AG631" s="138"/>
    </row>
    <row r="632" ht="13.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38"/>
      <c r="AD632" s="138"/>
      <c r="AE632" s="138"/>
      <c r="AF632" s="138"/>
      <c r="AG632" s="138"/>
    </row>
    <row r="633" ht="13.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138"/>
      <c r="AD633" s="138"/>
      <c r="AE633" s="138"/>
      <c r="AF633" s="138"/>
      <c r="AG633" s="138"/>
    </row>
    <row r="634" ht="13.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  <c r="AD634" s="138"/>
      <c r="AE634" s="138"/>
      <c r="AF634" s="138"/>
      <c r="AG634" s="138"/>
    </row>
    <row r="635" ht="13.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138"/>
      <c r="AD635" s="138"/>
      <c r="AE635" s="138"/>
      <c r="AF635" s="138"/>
      <c r="AG635" s="138"/>
    </row>
    <row r="636" ht="13.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  <c r="AD636" s="138"/>
      <c r="AE636" s="138"/>
      <c r="AF636" s="138"/>
      <c r="AG636" s="138"/>
    </row>
    <row r="637" ht="13.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138"/>
      <c r="AD637" s="138"/>
      <c r="AE637" s="138"/>
      <c r="AF637" s="138"/>
      <c r="AG637" s="138"/>
    </row>
    <row r="638" ht="13.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138"/>
      <c r="AD638" s="138"/>
      <c r="AE638" s="138"/>
      <c r="AF638" s="138"/>
      <c r="AG638" s="138"/>
    </row>
    <row r="639" ht="13.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38"/>
      <c r="AD639" s="138"/>
      <c r="AE639" s="138"/>
      <c r="AF639" s="138"/>
      <c r="AG639" s="138"/>
    </row>
    <row r="640" ht="13.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138"/>
      <c r="AD640" s="138"/>
      <c r="AE640" s="138"/>
      <c r="AF640" s="138"/>
      <c r="AG640" s="138"/>
    </row>
    <row r="641" ht="13.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38"/>
      <c r="AD641" s="138"/>
      <c r="AE641" s="138"/>
      <c r="AF641" s="138"/>
      <c r="AG641" s="138"/>
    </row>
    <row r="642" ht="13.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138"/>
      <c r="AD642" s="138"/>
      <c r="AE642" s="138"/>
      <c r="AF642" s="138"/>
      <c r="AG642" s="138"/>
    </row>
    <row r="643" ht="13.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38"/>
      <c r="AD643" s="138"/>
      <c r="AE643" s="138"/>
      <c r="AF643" s="138"/>
      <c r="AG643" s="138"/>
    </row>
    <row r="644" ht="13.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138"/>
      <c r="AD644" s="138"/>
      <c r="AE644" s="138"/>
      <c r="AF644" s="138"/>
      <c r="AG644" s="138"/>
    </row>
    <row r="645" ht="13.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38"/>
      <c r="AD645" s="138"/>
      <c r="AE645" s="138"/>
      <c r="AF645" s="138"/>
      <c r="AG645" s="138"/>
    </row>
    <row r="646" ht="13.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138"/>
      <c r="AD646" s="138"/>
      <c r="AE646" s="138"/>
      <c r="AF646" s="138"/>
      <c r="AG646" s="138"/>
    </row>
    <row r="647" ht="13.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38"/>
      <c r="AD647" s="138"/>
      <c r="AE647" s="138"/>
      <c r="AF647" s="138"/>
      <c r="AG647" s="138"/>
    </row>
    <row r="648" ht="13.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138"/>
      <c r="AD648" s="138"/>
      <c r="AE648" s="138"/>
      <c r="AF648" s="138"/>
      <c r="AG648" s="138"/>
    </row>
    <row r="649" ht="13.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  <c r="AD649" s="138"/>
      <c r="AE649" s="138"/>
      <c r="AF649" s="138"/>
      <c r="AG649" s="138"/>
    </row>
    <row r="650" ht="13.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138"/>
      <c r="AD650" s="138"/>
      <c r="AE650" s="138"/>
      <c r="AF650" s="138"/>
      <c r="AG650" s="138"/>
    </row>
    <row r="651" ht="13.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  <c r="AD651" s="138"/>
      <c r="AE651" s="138"/>
      <c r="AF651" s="138"/>
      <c r="AG651" s="138"/>
    </row>
    <row r="652" ht="13.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138"/>
      <c r="AD652" s="138"/>
      <c r="AE652" s="138"/>
      <c r="AF652" s="138"/>
      <c r="AG652" s="138"/>
    </row>
    <row r="653" ht="13.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138"/>
      <c r="AD653" s="138"/>
      <c r="AE653" s="138"/>
      <c r="AF653" s="138"/>
      <c r="AG653" s="138"/>
    </row>
    <row r="654" ht="13.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  <c r="AC654" s="138"/>
      <c r="AD654" s="138"/>
      <c r="AE654" s="138"/>
      <c r="AF654" s="138"/>
      <c r="AG654" s="138"/>
    </row>
    <row r="655" ht="13.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  <c r="AC655" s="138"/>
      <c r="AD655" s="138"/>
      <c r="AE655" s="138"/>
      <c r="AF655" s="138"/>
      <c r="AG655" s="138"/>
    </row>
    <row r="656" ht="13.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  <c r="AC656" s="138"/>
      <c r="AD656" s="138"/>
      <c r="AE656" s="138"/>
      <c r="AF656" s="138"/>
      <c r="AG656" s="138"/>
    </row>
    <row r="657" ht="13.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  <c r="AC657" s="138"/>
      <c r="AD657" s="138"/>
      <c r="AE657" s="138"/>
      <c r="AF657" s="138"/>
      <c r="AG657" s="138"/>
    </row>
    <row r="658" ht="13.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  <c r="AC658" s="138"/>
      <c r="AD658" s="138"/>
      <c r="AE658" s="138"/>
      <c r="AF658" s="138"/>
      <c r="AG658" s="138"/>
    </row>
    <row r="659" ht="13.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  <c r="AC659" s="138"/>
      <c r="AD659" s="138"/>
      <c r="AE659" s="138"/>
      <c r="AF659" s="138"/>
      <c r="AG659" s="138"/>
    </row>
    <row r="660" ht="13.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  <c r="AC660" s="138"/>
      <c r="AD660" s="138"/>
      <c r="AE660" s="138"/>
      <c r="AF660" s="138"/>
      <c r="AG660" s="138"/>
    </row>
    <row r="661" ht="13.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  <c r="AC661" s="138"/>
      <c r="AD661" s="138"/>
      <c r="AE661" s="138"/>
      <c r="AF661" s="138"/>
      <c r="AG661" s="138"/>
    </row>
    <row r="662" ht="13.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  <c r="AC662" s="138"/>
      <c r="AD662" s="138"/>
      <c r="AE662" s="138"/>
      <c r="AF662" s="138"/>
      <c r="AG662" s="138"/>
    </row>
    <row r="663" ht="13.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  <c r="AG663" s="138"/>
    </row>
    <row r="664" ht="13.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  <c r="AC664" s="138"/>
      <c r="AD664" s="138"/>
      <c r="AE664" s="138"/>
      <c r="AF664" s="138"/>
      <c r="AG664" s="138"/>
    </row>
    <row r="665" ht="13.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  <c r="AC665" s="138"/>
      <c r="AD665" s="138"/>
      <c r="AE665" s="138"/>
      <c r="AF665" s="138"/>
      <c r="AG665" s="138"/>
    </row>
    <row r="666" ht="13.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  <c r="AC666" s="138"/>
      <c r="AD666" s="138"/>
      <c r="AE666" s="138"/>
      <c r="AF666" s="138"/>
      <c r="AG666" s="138"/>
    </row>
    <row r="667" ht="13.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  <c r="AC667" s="138"/>
      <c r="AD667" s="138"/>
      <c r="AE667" s="138"/>
      <c r="AF667" s="138"/>
      <c r="AG667" s="138"/>
    </row>
    <row r="668" ht="13.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  <c r="AC668" s="138"/>
      <c r="AD668" s="138"/>
      <c r="AE668" s="138"/>
      <c r="AF668" s="138"/>
      <c r="AG668" s="138"/>
    </row>
    <row r="669" ht="13.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  <c r="AC669" s="138"/>
      <c r="AD669" s="138"/>
      <c r="AE669" s="138"/>
      <c r="AF669" s="138"/>
      <c r="AG669" s="138"/>
    </row>
    <row r="670" ht="13.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  <c r="AC670" s="138"/>
      <c r="AD670" s="138"/>
      <c r="AE670" s="138"/>
      <c r="AF670" s="138"/>
      <c r="AG670" s="138"/>
    </row>
    <row r="671" ht="13.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  <c r="AC671" s="138"/>
      <c r="AD671" s="138"/>
      <c r="AE671" s="138"/>
      <c r="AF671" s="138"/>
      <c r="AG671" s="138"/>
    </row>
    <row r="672" ht="13.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  <c r="AC672" s="138"/>
      <c r="AD672" s="138"/>
      <c r="AE672" s="138"/>
      <c r="AF672" s="138"/>
      <c r="AG672" s="138"/>
    </row>
    <row r="673" ht="13.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  <c r="AC673" s="138"/>
      <c r="AD673" s="138"/>
      <c r="AE673" s="138"/>
      <c r="AF673" s="138"/>
      <c r="AG673" s="138"/>
    </row>
    <row r="674" ht="13.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  <c r="AC674" s="138"/>
      <c r="AD674" s="138"/>
      <c r="AE674" s="138"/>
      <c r="AF674" s="138"/>
      <c r="AG674" s="138"/>
    </row>
    <row r="675" ht="13.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  <c r="AC675" s="138"/>
      <c r="AD675" s="138"/>
      <c r="AE675" s="138"/>
      <c r="AF675" s="138"/>
      <c r="AG675" s="138"/>
    </row>
    <row r="676" ht="13.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  <c r="AC676" s="138"/>
      <c r="AD676" s="138"/>
      <c r="AE676" s="138"/>
      <c r="AF676" s="138"/>
      <c r="AG676" s="138"/>
    </row>
    <row r="677" ht="13.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  <c r="AC677" s="138"/>
      <c r="AD677" s="138"/>
      <c r="AE677" s="138"/>
      <c r="AF677" s="138"/>
      <c r="AG677" s="138"/>
    </row>
    <row r="678" ht="13.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  <c r="AC678" s="138"/>
      <c r="AD678" s="138"/>
      <c r="AE678" s="138"/>
      <c r="AF678" s="138"/>
      <c r="AG678" s="138"/>
    </row>
    <row r="679" ht="13.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  <c r="AC679" s="138"/>
      <c r="AD679" s="138"/>
      <c r="AE679" s="138"/>
      <c r="AF679" s="138"/>
      <c r="AG679" s="138"/>
    </row>
    <row r="680" ht="13.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  <c r="AC680" s="138"/>
      <c r="AD680" s="138"/>
      <c r="AE680" s="138"/>
      <c r="AF680" s="138"/>
      <c r="AG680" s="138"/>
    </row>
    <row r="681" ht="13.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  <c r="AC681" s="138"/>
      <c r="AD681" s="138"/>
      <c r="AE681" s="138"/>
      <c r="AF681" s="138"/>
      <c r="AG681" s="138"/>
    </row>
    <row r="682" ht="13.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  <c r="AC682" s="138"/>
      <c r="AD682" s="138"/>
      <c r="AE682" s="138"/>
      <c r="AF682" s="138"/>
      <c r="AG682" s="138"/>
    </row>
    <row r="683" ht="13.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  <c r="AC683" s="138"/>
      <c r="AD683" s="138"/>
      <c r="AE683" s="138"/>
      <c r="AF683" s="138"/>
      <c r="AG683" s="138"/>
    </row>
    <row r="684" ht="13.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  <c r="AC684" s="138"/>
      <c r="AD684" s="138"/>
      <c r="AE684" s="138"/>
      <c r="AF684" s="138"/>
      <c r="AG684" s="138"/>
    </row>
    <row r="685" ht="13.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  <c r="AC685" s="138"/>
      <c r="AD685" s="138"/>
      <c r="AE685" s="138"/>
      <c r="AF685" s="138"/>
      <c r="AG685" s="138"/>
    </row>
    <row r="686" ht="13.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  <c r="AC686" s="138"/>
      <c r="AD686" s="138"/>
      <c r="AE686" s="138"/>
      <c r="AF686" s="138"/>
      <c r="AG686" s="138"/>
    </row>
    <row r="687" ht="13.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  <c r="AC687" s="138"/>
      <c r="AD687" s="138"/>
      <c r="AE687" s="138"/>
      <c r="AF687" s="138"/>
      <c r="AG687" s="138"/>
    </row>
    <row r="688" ht="13.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  <c r="AC688" s="138"/>
      <c r="AD688" s="138"/>
      <c r="AE688" s="138"/>
      <c r="AF688" s="138"/>
      <c r="AG688" s="138"/>
    </row>
    <row r="689" ht="13.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  <c r="AC689" s="138"/>
      <c r="AD689" s="138"/>
      <c r="AE689" s="138"/>
      <c r="AF689" s="138"/>
      <c r="AG689" s="138"/>
    </row>
    <row r="690" ht="13.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  <c r="AC690" s="138"/>
      <c r="AD690" s="138"/>
      <c r="AE690" s="138"/>
      <c r="AF690" s="138"/>
      <c r="AG690" s="138"/>
    </row>
    <row r="691" ht="13.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  <c r="AC691" s="138"/>
      <c r="AD691" s="138"/>
      <c r="AE691" s="138"/>
      <c r="AF691" s="138"/>
      <c r="AG691" s="138"/>
    </row>
    <row r="692" ht="13.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  <c r="AC692" s="138"/>
      <c r="AD692" s="138"/>
      <c r="AE692" s="138"/>
      <c r="AF692" s="138"/>
      <c r="AG692" s="138"/>
    </row>
    <row r="693" ht="13.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  <c r="AC693" s="138"/>
      <c r="AD693" s="138"/>
      <c r="AE693" s="138"/>
      <c r="AF693" s="138"/>
      <c r="AG693" s="138"/>
    </row>
    <row r="694" ht="13.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  <c r="AC694" s="138"/>
      <c r="AD694" s="138"/>
      <c r="AE694" s="138"/>
      <c r="AF694" s="138"/>
      <c r="AG694" s="138"/>
    </row>
    <row r="695" ht="13.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  <c r="AC695" s="138"/>
      <c r="AD695" s="138"/>
      <c r="AE695" s="138"/>
      <c r="AF695" s="138"/>
      <c r="AG695" s="138"/>
    </row>
    <row r="696" ht="13.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  <c r="AC696" s="138"/>
      <c r="AD696" s="138"/>
      <c r="AE696" s="138"/>
      <c r="AF696" s="138"/>
      <c r="AG696" s="138"/>
    </row>
    <row r="697" ht="13.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  <c r="AC697" s="138"/>
      <c r="AD697" s="138"/>
      <c r="AE697" s="138"/>
      <c r="AF697" s="138"/>
      <c r="AG697" s="138"/>
    </row>
    <row r="698" ht="13.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  <c r="AC698" s="138"/>
      <c r="AD698" s="138"/>
      <c r="AE698" s="138"/>
      <c r="AF698" s="138"/>
      <c r="AG698" s="138"/>
    </row>
    <row r="699" ht="13.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  <c r="AC699" s="138"/>
      <c r="AD699" s="138"/>
      <c r="AE699" s="138"/>
      <c r="AF699" s="138"/>
      <c r="AG699" s="138"/>
    </row>
    <row r="700" ht="13.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  <c r="AC700" s="138"/>
      <c r="AD700" s="138"/>
      <c r="AE700" s="138"/>
      <c r="AF700" s="138"/>
      <c r="AG700" s="138"/>
    </row>
    <row r="701" ht="13.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  <c r="AC701" s="138"/>
      <c r="AD701" s="138"/>
      <c r="AE701" s="138"/>
      <c r="AF701" s="138"/>
      <c r="AG701" s="138"/>
    </row>
    <row r="702" ht="13.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  <c r="AC702" s="138"/>
      <c r="AD702" s="138"/>
      <c r="AE702" s="138"/>
      <c r="AF702" s="138"/>
      <c r="AG702" s="138"/>
    </row>
    <row r="703" ht="13.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  <c r="AC703" s="138"/>
      <c r="AD703" s="138"/>
      <c r="AE703" s="138"/>
      <c r="AF703" s="138"/>
      <c r="AG703" s="138"/>
    </row>
    <row r="704" ht="13.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  <c r="AC704" s="138"/>
      <c r="AD704" s="138"/>
      <c r="AE704" s="138"/>
      <c r="AF704" s="138"/>
      <c r="AG704" s="138"/>
    </row>
    <row r="705" ht="13.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  <c r="AC705" s="138"/>
      <c r="AD705" s="138"/>
      <c r="AE705" s="138"/>
      <c r="AF705" s="138"/>
      <c r="AG705" s="138"/>
    </row>
    <row r="706" ht="13.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138"/>
      <c r="AD706" s="138"/>
      <c r="AE706" s="138"/>
      <c r="AF706" s="138"/>
      <c r="AG706" s="138"/>
    </row>
    <row r="707" ht="13.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  <c r="AC707" s="138"/>
      <c r="AD707" s="138"/>
      <c r="AE707" s="138"/>
      <c r="AF707" s="138"/>
      <c r="AG707" s="138"/>
    </row>
    <row r="708" ht="13.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  <c r="AC708" s="138"/>
      <c r="AD708" s="138"/>
      <c r="AE708" s="138"/>
      <c r="AF708" s="138"/>
      <c r="AG708" s="138"/>
    </row>
    <row r="709" ht="13.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  <c r="AC709" s="138"/>
      <c r="AD709" s="138"/>
      <c r="AE709" s="138"/>
      <c r="AF709" s="138"/>
      <c r="AG709" s="138"/>
    </row>
    <row r="710" ht="13.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  <c r="AC710" s="138"/>
      <c r="AD710" s="138"/>
      <c r="AE710" s="138"/>
      <c r="AF710" s="138"/>
      <c r="AG710" s="138"/>
    </row>
    <row r="711" ht="13.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  <c r="AC711" s="138"/>
      <c r="AD711" s="138"/>
      <c r="AE711" s="138"/>
      <c r="AF711" s="138"/>
      <c r="AG711" s="138"/>
    </row>
    <row r="712" ht="13.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  <c r="AC712" s="138"/>
      <c r="AD712" s="138"/>
      <c r="AE712" s="138"/>
      <c r="AF712" s="138"/>
      <c r="AG712" s="138"/>
    </row>
    <row r="713" ht="13.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  <c r="AC713" s="138"/>
      <c r="AD713" s="138"/>
      <c r="AE713" s="138"/>
      <c r="AF713" s="138"/>
      <c r="AG713" s="138"/>
    </row>
    <row r="714" ht="13.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  <c r="AC714" s="138"/>
      <c r="AD714" s="138"/>
      <c r="AE714" s="138"/>
      <c r="AF714" s="138"/>
      <c r="AG714" s="138"/>
    </row>
    <row r="715" ht="13.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  <c r="AC715" s="138"/>
      <c r="AD715" s="138"/>
      <c r="AE715" s="138"/>
      <c r="AF715" s="138"/>
      <c r="AG715" s="138"/>
    </row>
    <row r="716" ht="13.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  <c r="AC716" s="138"/>
      <c r="AD716" s="138"/>
      <c r="AE716" s="138"/>
      <c r="AF716" s="138"/>
      <c r="AG716" s="138"/>
    </row>
    <row r="717" ht="13.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  <c r="AC717" s="138"/>
      <c r="AD717" s="138"/>
      <c r="AE717" s="138"/>
      <c r="AF717" s="138"/>
      <c r="AG717" s="138"/>
    </row>
    <row r="718" ht="13.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  <c r="AC718" s="138"/>
      <c r="AD718" s="138"/>
      <c r="AE718" s="138"/>
      <c r="AF718" s="138"/>
      <c r="AG718" s="138"/>
    </row>
    <row r="719" ht="13.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  <c r="AC719" s="138"/>
      <c r="AD719" s="138"/>
      <c r="AE719" s="138"/>
      <c r="AF719" s="138"/>
      <c r="AG719" s="138"/>
    </row>
    <row r="720" ht="13.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  <c r="AC720" s="138"/>
      <c r="AD720" s="138"/>
      <c r="AE720" s="138"/>
      <c r="AF720" s="138"/>
      <c r="AG720" s="138"/>
    </row>
    <row r="721" ht="13.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  <c r="AC721" s="138"/>
      <c r="AD721" s="138"/>
      <c r="AE721" s="138"/>
      <c r="AF721" s="138"/>
      <c r="AG721" s="138"/>
    </row>
    <row r="722" ht="13.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  <c r="AC722" s="138"/>
      <c r="AD722" s="138"/>
      <c r="AE722" s="138"/>
      <c r="AF722" s="138"/>
      <c r="AG722" s="138"/>
    </row>
    <row r="723" ht="13.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  <c r="AC723" s="138"/>
      <c r="AD723" s="138"/>
      <c r="AE723" s="138"/>
      <c r="AF723" s="138"/>
      <c r="AG723" s="138"/>
    </row>
    <row r="724" ht="13.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  <c r="AC724" s="138"/>
      <c r="AD724" s="138"/>
      <c r="AE724" s="138"/>
      <c r="AF724" s="138"/>
      <c r="AG724" s="138"/>
    </row>
    <row r="725" ht="13.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  <c r="AC725" s="138"/>
      <c r="AD725" s="138"/>
      <c r="AE725" s="138"/>
      <c r="AF725" s="138"/>
      <c r="AG725" s="138"/>
    </row>
    <row r="726" ht="13.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  <c r="AC726" s="138"/>
      <c r="AD726" s="138"/>
      <c r="AE726" s="138"/>
      <c r="AF726" s="138"/>
      <c r="AG726" s="138"/>
    </row>
    <row r="727" ht="13.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  <c r="AC727" s="138"/>
      <c r="AD727" s="138"/>
      <c r="AE727" s="138"/>
      <c r="AF727" s="138"/>
      <c r="AG727" s="138"/>
    </row>
    <row r="728" ht="13.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  <c r="AC728" s="138"/>
      <c r="AD728" s="138"/>
      <c r="AE728" s="138"/>
      <c r="AF728" s="138"/>
      <c r="AG728" s="138"/>
    </row>
    <row r="729" ht="13.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  <c r="AC729" s="138"/>
      <c r="AD729" s="138"/>
      <c r="AE729" s="138"/>
      <c r="AF729" s="138"/>
      <c r="AG729" s="138"/>
    </row>
    <row r="730" ht="13.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  <c r="AC730" s="138"/>
      <c r="AD730" s="138"/>
      <c r="AE730" s="138"/>
      <c r="AF730" s="138"/>
      <c r="AG730" s="138"/>
    </row>
    <row r="731" ht="13.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  <c r="AC731" s="138"/>
      <c r="AD731" s="138"/>
      <c r="AE731" s="138"/>
      <c r="AF731" s="138"/>
      <c r="AG731" s="138"/>
    </row>
    <row r="732" ht="13.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  <c r="AC732" s="138"/>
      <c r="AD732" s="138"/>
      <c r="AE732" s="138"/>
      <c r="AF732" s="138"/>
      <c r="AG732" s="138"/>
    </row>
    <row r="733" ht="13.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  <c r="AC733" s="138"/>
      <c r="AD733" s="138"/>
      <c r="AE733" s="138"/>
      <c r="AF733" s="138"/>
      <c r="AG733" s="138"/>
    </row>
    <row r="734" ht="13.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  <c r="AC734" s="138"/>
      <c r="AD734" s="138"/>
      <c r="AE734" s="138"/>
      <c r="AF734" s="138"/>
      <c r="AG734" s="138"/>
    </row>
    <row r="735" ht="13.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  <c r="AG735" s="138"/>
    </row>
    <row r="736" ht="13.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  <c r="AC736" s="138"/>
      <c r="AD736" s="138"/>
      <c r="AE736" s="138"/>
      <c r="AF736" s="138"/>
      <c r="AG736" s="138"/>
    </row>
    <row r="737" ht="13.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  <c r="AC737" s="138"/>
      <c r="AD737" s="138"/>
      <c r="AE737" s="138"/>
      <c r="AF737" s="138"/>
      <c r="AG737" s="138"/>
    </row>
    <row r="738" ht="13.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  <c r="AC738" s="138"/>
      <c r="AD738" s="138"/>
      <c r="AE738" s="138"/>
      <c r="AF738" s="138"/>
      <c r="AG738" s="138"/>
    </row>
    <row r="739" ht="13.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  <c r="AC739" s="138"/>
      <c r="AD739" s="138"/>
      <c r="AE739" s="138"/>
      <c r="AF739" s="138"/>
      <c r="AG739" s="138"/>
    </row>
    <row r="740" ht="13.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  <c r="AC740" s="138"/>
      <c r="AD740" s="138"/>
      <c r="AE740" s="138"/>
      <c r="AF740" s="138"/>
      <c r="AG740" s="138"/>
    </row>
    <row r="741" ht="13.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  <c r="AC741" s="138"/>
      <c r="AD741" s="138"/>
      <c r="AE741" s="138"/>
      <c r="AF741" s="138"/>
      <c r="AG741" s="138"/>
    </row>
    <row r="742" ht="13.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  <c r="AC742" s="138"/>
      <c r="AD742" s="138"/>
      <c r="AE742" s="138"/>
      <c r="AF742" s="138"/>
      <c r="AG742" s="138"/>
    </row>
    <row r="743" ht="13.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  <c r="AC743" s="138"/>
      <c r="AD743" s="138"/>
      <c r="AE743" s="138"/>
      <c r="AF743" s="138"/>
      <c r="AG743" s="138"/>
    </row>
    <row r="744" ht="13.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  <c r="AC744" s="138"/>
      <c r="AD744" s="138"/>
      <c r="AE744" s="138"/>
      <c r="AF744" s="138"/>
      <c r="AG744" s="138"/>
    </row>
    <row r="745" ht="13.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  <c r="AC745" s="138"/>
      <c r="AD745" s="138"/>
      <c r="AE745" s="138"/>
      <c r="AF745" s="138"/>
      <c r="AG745" s="138"/>
    </row>
    <row r="746" ht="13.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  <c r="AC746" s="138"/>
      <c r="AD746" s="138"/>
      <c r="AE746" s="138"/>
      <c r="AF746" s="138"/>
      <c r="AG746" s="138"/>
    </row>
    <row r="747" ht="13.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  <c r="AC747" s="138"/>
      <c r="AD747" s="138"/>
      <c r="AE747" s="138"/>
      <c r="AF747" s="138"/>
      <c r="AG747" s="138"/>
    </row>
    <row r="748" ht="13.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  <c r="AC748" s="138"/>
      <c r="AD748" s="138"/>
      <c r="AE748" s="138"/>
      <c r="AF748" s="138"/>
      <c r="AG748" s="138"/>
    </row>
    <row r="749" ht="13.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  <c r="AC749" s="138"/>
      <c r="AD749" s="138"/>
      <c r="AE749" s="138"/>
      <c r="AF749" s="138"/>
      <c r="AG749" s="138"/>
    </row>
    <row r="750" ht="13.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  <c r="AC750" s="138"/>
      <c r="AD750" s="138"/>
      <c r="AE750" s="138"/>
      <c r="AF750" s="138"/>
      <c r="AG750" s="138"/>
    </row>
    <row r="751" ht="13.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  <c r="AC751" s="138"/>
      <c r="AD751" s="138"/>
      <c r="AE751" s="138"/>
      <c r="AF751" s="138"/>
      <c r="AG751" s="138"/>
    </row>
    <row r="752" ht="13.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  <c r="AC752" s="138"/>
      <c r="AD752" s="138"/>
      <c r="AE752" s="138"/>
      <c r="AF752" s="138"/>
      <c r="AG752" s="138"/>
    </row>
    <row r="753" ht="13.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  <c r="AC753" s="138"/>
      <c r="AD753" s="138"/>
      <c r="AE753" s="138"/>
      <c r="AF753" s="138"/>
      <c r="AG753" s="138"/>
    </row>
    <row r="754" ht="13.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  <c r="AC754" s="138"/>
      <c r="AD754" s="138"/>
      <c r="AE754" s="138"/>
      <c r="AF754" s="138"/>
      <c r="AG754" s="138"/>
    </row>
    <row r="755" ht="13.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  <c r="AC755" s="138"/>
      <c r="AD755" s="138"/>
      <c r="AE755" s="138"/>
      <c r="AF755" s="138"/>
      <c r="AG755" s="138"/>
    </row>
    <row r="756" ht="13.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  <c r="AC756" s="138"/>
      <c r="AD756" s="138"/>
      <c r="AE756" s="138"/>
      <c r="AF756" s="138"/>
      <c r="AG756" s="138"/>
    </row>
    <row r="757" ht="13.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  <c r="AC757" s="138"/>
      <c r="AD757" s="138"/>
      <c r="AE757" s="138"/>
      <c r="AF757" s="138"/>
      <c r="AG757" s="138"/>
    </row>
    <row r="758" ht="13.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  <c r="AC758" s="138"/>
      <c r="AD758" s="138"/>
      <c r="AE758" s="138"/>
      <c r="AF758" s="138"/>
      <c r="AG758" s="138"/>
    </row>
    <row r="759" ht="13.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  <c r="AC759" s="138"/>
      <c r="AD759" s="138"/>
      <c r="AE759" s="138"/>
      <c r="AF759" s="138"/>
      <c r="AG759" s="138"/>
    </row>
    <row r="760" ht="13.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  <c r="AC760" s="138"/>
      <c r="AD760" s="138"/>
      <c r="AE760" s="138"/>
      <c r="AF760" s="138"/>
      <c r="AG760" s="138"/>
    </row>
    <row r="761" ht="13.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  <c r="AC761" s="138"/>
      <c r="AD761" s="138"/>
      <c r="AE761" s="138"/>
      <c r="AF761" s="138"/>
      <c r="AG761" s="138"/>
    </row>
    <row r="762" ht="13.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  <c r="AC762" s="138"/>
      <c r="AD762" s="138"/>
      <c r="AE762" s="138"/>
      <c r="AF762" s="138"/>
      <c r="AG762" s="138"/>
    </row>
    <row r="763" ht="13.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  <c r="AC763" s="138"/>
      <c r="AD763" s="138"/>
      <c r="AE763" s="138"/>
      <c r="AF763" s="138"/>
      <c r="AG763" s="138"/>
    </row>
    <row r="764" ht="13.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  <c r="AC764" s="138"/>
      <c r="AD764" s="138"/>
      <c r="AE764" s="138"/>
      <c r="AF764" s="138"/>
      <c r="AG764" s="138"/>
    </row>
    <row r="765" ht="13.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  <c r="AC765" s="138"/>
      <c r="AD765" s="138"/>
      <c r="AE765" s="138"/>
      <c r="AF765" s="138"/>
      <c r="AG765" s="138"/>
    </row>
    <row r="766" ht="13.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  <c r="AC766" s="138"/>
      <c r="AD766" s="138"/>
      <c r="AE766" s="138"/>
      <c r="AF766" s="138"/>
      <c r="AG766" s="138"/>
    </row>
    <row r="767" ht="13.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  <c r="AC767" s="138"/>
      <c r="AD767" s="138"/>
      <c r="AE767" s="138"/>
      <c r="AF767" s="138"/>
      <c r="AG767" s="138"/>
    </row>
    <row r="768" ht="13.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  <c r="AC768" s="138"/>
      <c r="AD768" s="138"/>
      <c r="AE768" s="138"/>
      <c r="AF768" s="138"/>
      <c r="AG768" s="138"/>
    </row>
    <row r="769" ht="13.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  <c r="AC769" s="138"/>
      <c r="AD769" s="138"/>
      <c r="AE769" s="138"/>
      <c r="AF769" s="138"/>
      <c r="AG769" s="138"/>
    </row>
    <row r="770" ht="13.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  <c r="AC770" s="138"/>
      <c r="AD770" s="138"/>
      <c r="AE770" s="138"/>
      <c r="AF770" s="138"/>
      <c r="AG770" s="138"/>
    </row>
    <row r="771" ht="13.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  <c r="AC771" s="138"/>
      <c r="AD771" s="138"/>
      <c r="AE771" s="138"/>
      <c r="AF771" s="138"/>
      <c r="AG771" s="138"/>
    </row>
    <row r="772" ht="13.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  <c r="AC772" s="138"/>
      <c r="AD772" s="138"/>
      <c r="AE772" s="138"/>
      <c r="AF772" s="138"/>
      <c r="AG772" s="138"/>
    </row>
    <row r="773" ht="13.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  <c r="AC773" s="138"/>
      <c r="AD773" s="138"/>
      <c r="AE773" s="138"/>
      <c r="AF773" s="138"/>
      <c r="AG773" s="138"/>
    </row>
    <row r="774" ht="13.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  <c r="AC774" s="138"/>
      <c r="AD774" s="138"/>
      <c r="AE774" s="138"/>
      <c r="AF774" s="138"/>
      <c r="AG774" s="138"/>
    </row>
    <row r="775" ht="13.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  <c r="AC775" s="138"/>
      <c r="AD775" s="138"/>
      <c r="AE775" s="138"/>
      <c r="AF775" s="138"/>
      <c r="AG775" s="138"/>
    </row>
    <row r="776" ht="13.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  <c r="AC776" s="138"/>
      <c r="AD776" s="138"/>
      <c r="AE776" s="138"/>
      <c r="AF776" s="138"/>
      <c r="AG776" s="138"/>
    </row>
    <row r="777" ht="13.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  <c r="AC777" s="138"/>
      <c r="AD777" s="138"/>
      <c r="AE777" s="138"/>
      <c r="AF777" s="138"/>
      <c r="AG777" s="138"/>
    </row>
    <row r="778" ht="13.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  <c r="AC778" s="138"/>
      <c r="AD778" s="138"/>
      <c r="AE778" s="138"/>
      <c r="AF778" s="138"/>
      <c r="AG778" s="138"/>
    </row>
    <row r="779" ht="13.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  <c r="AC779" s="138"/>
      <c r="AD779" s="138"/>
      <c r="AE779" s="138"/>
      <c r="AF779" s="138"/>
      <c r="AG779" s="138"/>
    </row>
    <row r="780" ht="13.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  <c r="AC780" s="138"/>
      <c r="AD780" s="138"/>
      <c r="AE780" s="138"/>
      <c r="AF780" s="138"/>
      <c r="AG780" s="138"/>
    </row>
    <row r="781" ht="13.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  <c r="AB781" s="138"/>
      <c r="AC781" s="138"/>
      <c r="AD781" s="138"/>
      <c r="AE781" s="138"/>
      <c r="AF781" s="138"/>
      <c r="AG781" s="138"/>
    </row>
    <row r="782" ht="13.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  <c r="AC782" s="138"/>
      <c r="AD782" s="138"/>
      <c r="AE782" s="138"/>
      <c r="AF782" s="138"/>
      <c r="AG782" s="138"/>
    </row>
    <row r="783" ht="13.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  <c r="AB783" s="138"/>
      <c r="AC783" s="138"/>
      <c r="AD783" s="138"/>
      <c r="AE783" s="138"/>
      <c r="AF783" s="138"/>
      <c r="AG783" s="138"/>
    </row>
    <row r="784" ht="13.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  <c r="AC784" s="138"/>
      <c r="AD784" s="138"/>
      <c r="AE784" s="138"/>
      <c r="AF784" s="138"/>
      <c r="AG784" s="138"/>
    </row>
    <row r="785" ht="13.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  <c r="AC785" s="138"/>
      <c r="AD785" s="138"/>
      <c r="AE785" s="138"/>
      <c r="AF785" s="138"/>
      <c r="AG785" s="138"/>
    </row>
    <row r="786" ht="13.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  <c r="AC786" s="138"/>
      <c r="AD786" s="138"/>
      <c r="AE786" s="138"/>
      <c r="AF786" s="138"/>
      <c r="AG786" s="138"/>
    </row>
    <row r="787" ht="13.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  <c r="AC787" s="138"/>
      <c r="AD787" s="138"/>
      <c r="AE787" s="138"/>
      <c r="AF787" s="138"/>
      <c r="AG787" s="138"/>
    </row>
    <row r="788" ht="13.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  <c r="AC788" s="138"/>
      <c r="AD788" s="138"/>
      <c r="AE788" s="138"/>
      <c r="AF788" s="138"/>
      <c r="AG788" s="138"/>
    </row>
    <row r="789" ht="13.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  <c r="AC789" s="138"/>
      <c r="AD789" s="138"/>
      <c r="AE789" s="138"/>
      <c r="AF789" s="138"/>
      <c r="AG789" s="138"/>
    </row>
    <row r="790" ht="13.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  <c r="AC790" s="138"/>
      <c r="AD790" s="138"/>
      <c r="AE790" s="138"/>
      <c r="AF790" s="138"/>
      <c r="AG790" s="138"/>
    </row>
    <row r="791" ht="13.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  <c r="AC791" s="138"/>
      <c r="AD791" s="138"/>
      <c r="AE791" s="138"/>
      <c r="AF791" s="138"/>
      <c r="AG791" s="138"/>
    </row>
    <row r="792" ht="13.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  <c r="AC792" s="138"/>
      <c r="AD792" s="138"/>
      <c r="AE792" s="138"/>
      <c r="AF792" s="138"/>
      <c r="AG792" s="138"/>
    </row>
    <row r="793" ht="13.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  <c r="AC793" s="138"/>
      <c r="AD793" s="138"/>
      <c r="AE793" s="138"/>
      <c r="AF793" s="138"/>
      <c r="AG793" s="138"/>
    </row>
    <row r="794" ht="13.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  <c r="AC794" s="138"/>
      <c r="AD794" s="138"/>
      <c r="AE794" s="138"/>
      <c r="AF794" s="138"/>
      <c r="AG794" s="138"/>
    </row>
    <row r="795" ht="13.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  <c r="AC795" s="138"/>
      <c r="AD795" s="138"/>
      <c r="AE795" s="138"/>
      <c r="AF795" s="138"/>
      <c r="AG795" s="138"/>
    </row>
    <row r="796" ht="13.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  <c r="AC796" s="138"/>
      <c r="AD796" s="138"/>
      <c r="AE796" s="138"/>
      <c r="AF796" s="138"/>
      <c r="AG796" s="138"/>
    </row>
    <row r="797" ht="13.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  <c r="AC797" s="138"/>
      <c r="AD797" s="138"/>
      <c r="AE797" s="138"/>
      <c r="AF797" s="138"/>
      <c r="AG797" s="138"/>
    </row>
    <row r="798" ht="13.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  <c r="AC798" s="138"/>
      <c r="AD798" s="138"/>
      <c r="AE798" s="138"/>
      <c r="AF798" s="138"/>
      <c r="AG798" s="138"/>
    </row>
    <row r="799" ht="13.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  <c r="AC799" s="138"/>
      <c r="AD799" s="138"/>
      <c r="AE799" s="138"/>
      <c r="AF799" s="138"/>
      <c r="AG799" s="138"/>
    </row>
    <row r="800" ht="13.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138"/>
      <c r="AD800" s="138"/>
      <c r="AE800" s="138"/>
      <c r="AF800" s="138"/>
      <c r="AG800" s="138"/>
    </row>
    <row r="801" ht="13.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  <c r="AC801" s="138"/>
      <c r="AD801" s="138"/>
      <c r="AE801" s="138"/>
      <c r="AF801" s="138"/>
      <c r="AG801" s="138"/>
    </row>
    <row r="802" ht="13.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  <c r="AC802" s="138"/>
      <c r="AD802" s="138"/>
      <c r="AE802" s="138"/>
      <c r="AF802" s="138"/>
      <c r="AG802" s="138"/>
    </row>
    <row r="803" ht="13.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  <c r="AC803" s="138"/>
      <c r="AD803" s="138"/>
      <c r="AE803" s="138"/>
      <c r="AF803" s="138"/>
      <c r="AG803" s="138"/>
    </row>
    <row r="804" ht="13.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  <c r="AC804" s="138"/>
      <c r="AD804" s="138"/>
      <c r="AE804" s="138"/>
      <c r="AF804" s="138"/>
      <c r="AG804" s="138"/>
    </row>
    <row r="805" ht="13.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  <c r="AC805" s="138"/>
      <c r="AD805" s="138"/>
      <c r="AE805" s="138"/>
      <c r="AF805" s="138"/>
      <c r="AG805" s="138"/>
    </row>
    <row r="806" ht="13.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  <c r="AC806" s="138"/>
      <c r="AD806" s="138"/>
      <c r="AE806" s="138"/>
      <c r="AF806" s="138"/>
      <c r="AG806" s="138"/>
    </row>
    <row r="807" ht="13.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  <c r="AC807" s="138"/>
      <c r="AD807" s="138"/>
      <c r="AE807" s="138"/>
      <c r="AF807" s="138"/>
      <c r="AG807" s="138"/>
    </row>
    <row r="808" ht="13.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138"/>
      <c r="AD808" s="138"/>
      <c r="AE808" s="138"/>
      <c r="AF808" s="138"/>
      <c r="AG808" s="138"/>
    </row>
    <row r="809" ht="13.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  <c r="AC809" s="138"/>
      <c r="AD809" s="138"/>
      <c r="AE809" s="138"/>
      <c r="AF809" s="138"/>
      <c r="AG809" s="138"/>
    </row>
    <row r="810" ht="13.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  <c r="AC810" s="138"/>
      <c r="AD810" s="138"/>
      <c r="AE810" s="138"/>
      <c r="AF810" s="138"/>
      <c r="AG810" s="138"/>
    </row>
    <row r="811" ht="13.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  <c r="AC811" s="138"/>
      <c r="AD811" s="138"/>
      <c r="AE811" s="138"/>
      <c r="AF811" s="138"/>
      <c r="AG811" s="138"/>
    </row>
    <row r="812" ht="13.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  <c r="AC812" s="138"/>
      <c r="AD812" s="138"/>
      <c r="AE812" s="138"/>
      <c r="AF812" s="138"/>
      <c r="AG812" s="138"/>
    </row>
    <row r="813" ht="13.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  <c r="AC813" s="138"/>
      <c r="AD813" s="138"/>
      <c r="AE813" s="138"/>
      <c r="AF813" s="138"/>
      <c r="AG813" s="138"/>
    </row>
    <row r="814" ht="13.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  <c r="AC814" s="138"/>
      <c r="AD814" s="138"/>
      <c r="AE814" s="138"/>
      <c r="AF814" s="138"/>
      <c r="AG814" s="138"/>
    </row>
    <row r="815" ht="13.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  <c r="AC815" s="138"/>
      <c r="AD815" s="138"/>
      <c r="AE815" s="138"/>
      <c r="AF815" s="138"/>
      <c r="AG815" s="138"/>
    </row>
    <row r="816" ht="13.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  <c r="AC816" s="138"/>
      <c r="AD816" s="138"/>
      <c r="AE816" s="138"/>
      <c r="AF816" s="138"/>
      <c r="AG816" s="138"/>
    </row>
    <row r="817" ht="13.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  <c r="AC817" s="138"/>
      <c r="AD817" s="138"/>
      <c r="AE817" s="138"/>
      <c r="AF817" s="138"/>
      <c r="AG817" s="138"/>
    </row>
    <row r="818" ht="13.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  <c r="AC818" s="138"/>
      <c r="AD818" s="138"/>
      <c r="AE818" s="138"/>
      <c r="AF818" s="138"/>
      <c r="AG818" s="138"/>
    </row>
    <row r="819" ht="13.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  <c r="AC819" s="138"/>
      <c r="AD819" s="138"/>
      <c r="AE819" s="138"/>
      <c r="AF819" s="138"/>
      <c r="AG819" s="138"/>
    </row>
    <row r="820" ht="13.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  <c r="AC820" s="138"/>
      <c r="AD820" s="138"/>
      <c r="AE820" s="138"/>
      <c r="AF820" s="138"/>
      <c r="AG820" s="138"/>
    </row>
    <row r="821" ht="13.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  <c r="AC821" s="138"/>
      <c r="AD821" s="138"/>
      <c r="AE821" s="138"/>
      <c r="AF821" s="138"/>
      <c r="AG821" s="138"/>
    </row>
    <row r="822" ht="13.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  <c r="AC822" s="138"/>
      <c r="AD822" s="138"/>
      <c r="AE822" s="138"/>
      <c r="AF822" s="138"/>
      <c r="AG822" s="138"/>
    </row>
    <row r="823" ht="13.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  <c r="AC823" s="138"/>
      <c r="AD823" s="138"/>
      <c r="AE823" s="138"/>
      <c r="AF823" s="138"/>
      <c r="AG823" s="138"/>
    </row>
    <row r="824" ht="13.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  <c r="AC824" s="138"/>
      <c r="AD824" s="138"/>
      <c r="AE824" s="138"/>
      <c r="AF824" s="138"/>
      <c r="AG824" s="138"/>
    </row>
    <row r="825" ht="13.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  <c r="AC825" s="138"/>
      <c r="AD825" s="138"/>
      <c r="AE825" s="138"/>
      <c r="AF825" s="138"/>
      <c r="AG825" s="138"/>
    </row>
    <row r="826" ht="13.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  <c r="AC826" s="138"/>
      <c r="AD826" s="138"/>
      <c r="AE826" s="138"/>
      <c r="AF826" s="138"/>
      <c r="AG826" s="138"/>
    </row>
    <row r="827" ht="13.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  <c r="AC827" s="138"/>
      <c r="AD827" s="138"/>
      <c r="AE827" s="138"/>
      <c r="AF827" s="138"/>
      <c r="AG827" s="138"/>
    </row>
    <row r="828" ht="13.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  <c r="AC828" s="138"/>
      <c r="AD828" s="138"/>
      <c r="AE828" s="138"/>
      <c r="AF828" s="138"/>
      <c r="AG828" s="138"/>
    </row>
    <row r="829" ht="13.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  <c r="AC829" s="138"/>
      <c r="AD829" s="138"/>
      <c r="AE829" s="138"/>
      <c r="AF829" s="138"/>
      <c r="AG829" s="138"/>
    </row>
    <row r="830" ht="13.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  <c r="AC830" s="138"/>
      <c r="AD830" s="138"/>
      <c r="AE830" s="138"/>
      <c r="AF830" s="138"/>
      <c r="AG830" s="138"/>
    </row>
    <row r="831" ht="13.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  <c r="AC831" s="138"/>
      <c r="AD831" s="138"/>
      <c r="AE831" s="138"/>
      <c r="AF831" s="138"/>
      <c r="AG831" s="138"/>
    </row>
    <row r="832" ht="13.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  <c r="AC832" s="138"/>
      <c r="AD832" s="138"/>
      <c r="AE832" s="138"/>
      <c r="AF832" s="138"/>
      <c r="AG832" s="138"/>
    </row>
    <row r="833" ht="13.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  <c r="AC833" s="138"/>
      <c r="AD833" s="138"/>
      <c r="AE833" s="138"/>
      <c r="AF833" s="138"/>
      <c r="AG833" s="138"/>
    </row>
    <row r="834" ht="13.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  <c r="AC834" s="138"/>
      <c r="AD834" s="138"/>
      <c r="AE834" s="138"/>
      <c r="AF834" s="138"/>
      <c r="AG834" s="138"/>
    </row>
    <row r="835" ht="13.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  <c r="AC835" s="138"/>
      <c r="AD835" s="138"/>
      <c r="AE835" s="138"/>
      <c r="AF835" s="138"/>
      <c r="AG835" s="138"/>
    </row>
    <row r="836" ht="13.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  <c r="AC836" s="138"/>
      <c r="AD836" s="138"/>
      <c r="AE836" s="138"/>
      <c r="AF836" s="138"/>
      <c r="AG836" s="138"/>
    </row>
    <row r="837" ht="13.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  <c r="AC837" s="138"/>
      <c r="AD837" s="138"/>
      <c r="AE837" s="138"/>
      <c r="AF837" s="138"/>
      <c r="AG837" s="138"/>
    </row>
    <row r="838" ht="13.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  <c r="AC838" s="138"/>
      <c r="AD838" s="138"/>
      <c r="AE838" s="138"/>
      <c r="AF838" s="138"/>
      <c r="AG838" s="138"/>
    </row>
    <row r="839" ht="13.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  <c r="AC839" s="138"/>
      <c r="AD839" s="138"/>
      <c r="AE839" s="138"/>
      <c r="AF839" s="138"/>
      <c r="AG839" s="138"/>
    </row>
    <row r="840" ht="13.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  <c r="AC840" s="138"/>
      <c r="AD840" s="138"/>
      <c r="AE840" s="138"/>
      <c r="AF840" s="138"/>
      <c r="AG840" s="138"/>
    </row>
    <row r="841" ht="13.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  <c r="AC841" s="138"/>
      <c r="AD841" s="138"/>
      <c r="AE841" s="138"/>
      <c r="AF841" s="138"/>
      <c r="AG841" s="138"/>
    </row>
    <row r="842" ht="13.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  <c r="AC842" s="138"/>
      <c r="AD842" s="138"/>
      <c r="AE842" s="138"/>
      <c r="AF842" s="138"/>
      <c r="AG842" s="138"/>
    </row>
    <row r="843" ht="13.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  <c r="AC843" s="138"/>
      <c r="AD843" s="138"/>
      <c r="AE843" s="138"/>
      <c r="AF843" s="138"/>
      <c r="AG843" s="138"/>
    </row>
    <row r="844" ht="13.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  <c r="AC844" s="138"/>
      <c r="AD844" s="138"/>
      <c r="AE844" s="138"/>
      <c r="AF844" s="138"/>
      <c r="AG844" s="138"/>
    </row>
    <row r="845" ht="13.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  <c r="AC845" s="138"/>
      <c r="AD845" s="138"/>
      <c r="AE845" s="138"/>
      <c r="AF845" s="138"/>
      <c r="AG845" s="138"/>
    </row>
    <row r="846" ht="13.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  <c r="AC846" s="138"/>
      <c r="AD846" s="138"/>
      <c r="AE846" s="138"/>
      <c r="AF846" s="138"/>
      <c r="AG846" s="138"/>
    </row>
    <row r="847" ht="13.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  <c r="AC847" s="138"/>
      <c r="AD847" s="138"/>
      <c r="AE847" s="138"/>
      <c r="AF847" s="138"/>
      <c r="AG847" s="138"/>
    </row>
    <row r="848" ht="13.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  <c r="AC848" s="138"/>
      <c r="AD848" s="138"/>
      <c r="AE848" s="138"/>
      <c r="AF848" s="138"/>
      <c r="AG848" s="138"/>
    </row>
    <row r="849" ht="13.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  <c r="AC849" s="138"/>
      <c r="AD849" s="138"/>
      <c r="AE849" s="138"/>
      <c r="AF849" s="138"/>
      <c r="AG849" s="138"/>
    </row>
    <row r="850" ht="13.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  <c r="AC850" s="138"/>
      <c r="AD850" s="138"/>
      <c r="AE850" s="138"/>
      <c r="AF850" s="138"/>
      <c r="AG850" s="138"/>
    </row>
    <row r="851" ht="13.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  <c r="AC851" s="138"/>
      <c r="AD851" s="138"/>
      <c r="AE851" s="138"/>
      <c r="AF851" s="138"/>
      <c r="AG851" s="138"/>
    </row>
    <row r="852" ht="13.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  <c r="AC852" s="138"/>
      <c r="AD852" s="138"/>
      <c r="AE852" s="138"/>
      <c r="AF852" s="138"/>
      <c r="AG852" s="138"/>
    </row>
    <row r="853" ht="13.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  <c r="AC853" s="138"/>
      <c r="AD853" s="138"/>
      <c r="AE853" s="138"/>
      <c r="AF853" s="138"/>
      <c r="AG853" s="138"/>
    </row>
    <row r="854" ht="13.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  <c r="AC854" s="138"/>
      <c r="AD854" s="138"/>
      <c r="AE854" s="138"/>
      <c r="AF854" s="138"/>
      <c r="AG854" s="138"/>
    </row>
    <row r="855" ht="13.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  <c r="AC855" s="138"/>
      <c r="AD855" s="138"/>
      <c r="AE855" s="138"/>
      <c r="AF855" s="138"/>
      <c r="AG855" s="138"/>
    </row>
    <row r="856" ht="13.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  <c r="AC856" s="138"/>
      <c r="AD856" s="138"/>
      <c r="AE856" s="138"/>
      <c r="AF856" s="138"/>
      <c r="AG856" s="138"/>
    </row>
    <row r="857" ht="13.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  <c r="AC857" s="138"/>
      <c r="AD857" s="138"/>
      <c r="AE857" s="138"/>
      <c r="AF857" s="138"/>
      <c r="AG857" s="138"/>
    </row>
    <row r="858" ht="13.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  <c r="AC858" s="138"/>
      <c r="AD858" s="138"/>
      <c r="AE858" s="138"/>
      <c r="AF858" s="138"/>
      <c r="AG858" s="138"/>
    </row>
    <row r="859" ht="13.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  <c r="AC859" s="138"/>
      <c r="AD859" s="138"/>
      <c r="AE859" s="138"/>
      <c r="AF859" s="138"/>
      <c r="AG859" s="138"/>
    </row>
    <row r="860" ht="13.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  <c r="AC860" s="138"/>
      <c r="AD860" s="138"/>
      <c r="AE860" s="138"/>
      <c r="AF860" s="138"/>
      <c r="AG860" s="138"/>
    </row>
    <row r="861" ht="13.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  <c r="AC861" s="138"/>
      <c r="AD861" s="138"/>
      <c r="AE861" s="138"/>
      <c r="AF861" s="138"/>
      <c r="AG861" s="138"/>
    </row>
    <row r="862" ht="13.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  <c r="AC862" s="138"/>
      <c r="AD862" s="138"/>
      <c r="AE862" s="138"/>
      <c r="AF862" s="138"/>
      <c r="AG862" s="138"/>
    </row>
    <row r="863" ht="13.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  <c r="AC863" s="138"/>
      <c r="AD863" s="138"/>
      <c r="AE863" s="138"/>
      <c r="AF863" s="138"/>
      <c r="AG863" s="138"/>
    </row>
    <row r="864" ht="13.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  <c r="AC864" s="138"/>
      <c r="AD864" s="138"/>
      <c r="AE864" s="138"/>
      <c r="AF864" s="138"/>
      <c r="AG864" s="138"/>
    </row>
    <row r="865" ht="13.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  <c r="AC865" s="138"/>
      <c r="AD865" s="138"/>
      <c r="AE865" s="138"/>
      <c r="AF865" s="138"/>
      <c r="AG865" s="138"/>
    </row>
    <row r="866" ht="13.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  <c r="AC866" s="138"/>
      <c r="AD866" s="138"/>
      <c r="AE866" s="138"/>
      <c r="AF866" s="138"/>
      <c r="AG866" s="138"/>
    </row>
    <row r="867" ht="13.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  <c r="AC867" s="138"/>
      <c r="AD867" s="138"/>
      <c r="AE867" s="138"/>
      <c r="AF867" s="138"/>
      <c r="AG867" s="138"/>
    </row>
    <row r="868" ht="13.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  <c r="AC868" s="138"/>
      <c r="AD868" s="138"/>
      <c r="AE868" s="138"/>
      <c r="AF868" s="138"/>
      <c r="AG868" s="138"/>
    </row>
    <row r="869" ht="13.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  <c r="AC869" s="138"/>
      <c r="AD869" s="138"/>
      <c r="AE869" s="138"/>
      <c r="AF869" s="138"/>
      <c r="AG869" s="138"/>
    </row>
    <row r="870" ht="13.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  <c r="AC870" s="138"/>
      <c r="AD870" s="138"/>
      <c r="AE870" s="138"/>
      <c r="AF870" s="138"/>
      <c r="AG870" s="138"/>
    </row>
    <row r="871" ht="13.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  <c r="AC871" s="138"/>
      <c r="AD871" s="138"/>
      <c r="AE871" s="138"/>
      <c r="AF871" s="138"/>
      <c r="AG871" s="138"/>
    </row>
    <row r="872" ht="13.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  <c r="AC872" s="138"/>
      <c r="AD872" s="138"/>
      <c r="AE872" s="138"/>
      <c r="AF872" s="138"/>
      <c r="AG872" s="138"/>
    </row>
    <row r="873" ht="13.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  <c r="AC873" s="138"/>
      <c r="AD873" s="138"/>
      <c r="AE873" s="138"/>
      <c r="AF873" s="138"/>
      <c r="AG873" s="138"/>
    </row>
    <row r="874" ht="13.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  <c r="AC874" s="138"/>
      <c r="AD874" s="138"/>
      <c r="AE874" s="138"/>
      <c r="AF874" s="138"/>
      <c r="AG874" s="138"/>
    </row>
    <row r="875" ht="13.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  <c r="AC875" s="138"/>
      <c r="AD875" s="138"/>
      <c r="AE875" s="138"/>
      <c r="AF875" s="138"/>
      <c r="AG875" s="138"/>
    </row>
    <row r="876" ht="13.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  <c r="AC876" s="138"/>
      <c r="AD876" s="138"/>
      <c r="AE876" s="138"/>
      <c r="AF876" s="138"/>
      <c r="AG876" s="138"/>
    </row>
    <row r="877" ht="13.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  <c r="AC877" s="138"/>
      <c r="AD877" s="138"/>
      <c r="AE877" s="138"/>
      <c r="AF877" s="138"/>
      <c r="AG877" s="138"/>
    </row>
    <row r="878" ht="13.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  <c r="AC878" s="138"/>
      <c r="AD878" s="138"/>
      <c r="AE878" s="138"/>
      <c r="AF878" s="138"/>
      <c r="AG878" s="138"/>
    </row>
    <row r="879" ht="13.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  <c r="AC879" s="138"/>
      <c r="AD879" s="138"/>
      <c r="AE879" s="138"/>
      <c r="AF879" s="138"/>
      <c r="AG879" s="138"/>
    </row>
    <row r="880" ht="13.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  <c r="AC880" s="138"/>
      <c r="AD880" s="138"/>
      <c r="AE880" s="138"/>
      <c r="AF880" s="138"/>
      <c r="AG880" s="138"/>
    </row>
    <row r="881" ht="13.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  <c r="AC881" s="138"/>
      <c r="AD881" s="138"/>
      <c r="AE881" s="138"/>
      <c r="AF881" s="138"/>
      <c r="AG881" s="138"/>
    </row>
    <row r="882" ht="13.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  <c r="AC882" s="138"/>
      <c r="AD882" s="138"/>
      <c r="AE882" s="138"/>
      <c r="AF882" s="138"/>
      <c r="AG882" s="138"/>
    </row>
    <row r="883" ht="13.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  <c r="AC883" s="138"/>
      <c r="AD883" s="138"/>
      <c r="AE883" s="138"/>
      <c r="AF883" s="138"/>
      <c r="AG883" s="138"/>
    </row>
    <row r="884" ht="13.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  <c r="AC884" s="138"/>
      <c r="AD884" s="138"/>
      <c r="AE884" s="138"/>
      <c r="AF884" s="138"/>
      <c r="AG884" s="138"/>
    </row>
    <row r="885" ht="13.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  <c r="AC885" s="138"/>
      <c r="AD885" s="138"/>
      <c r="AE885" s="138"/>
      <c r="AF885" s="138"/>
      <c r="AG885" s="138"/>
    </row>
    <row r="886" ht="13.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  <c r="AC886" s="138"/>
      <c r="AD886" s="138"/>
      <c r="AE886" s="138"/>
      <c r="AF886" s="138"/>
      <c r="AG886" s="138"/>
    </row>
    <row r="887" ht="13.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  <c r="AC887" s="138"/>
      <c r="AD887" s="138"/>
      <c r="AE887" s="138"/>
      <c r="AF887" s="138"/>
      <c r="AG887" s="138"/>
    </row>
    <row r="888" ht="13.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  <c r="AC888" s="138"/>
      <c r="AD888" s="138"/>
      <c r="AE888" s="138"/>
      <c r="AF888" s="138"/>
      <c r="AG888" s="138"/>
    </row>
    <row r="889" ht="13.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  <c r="AC889" s="138"/>
      <c r="AD889" s="138"/>
      <c r="AE889" s="138"/>
      <c r="AF889" s="138"/>
      <c r="AG889" s="138"/>
    </row>
    <row r="890" ht="13.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  <c r="AC890" s="138"/>
      <c r="AD890" s="138"/>
      <c r="AE890" s="138"/>
      <c r="AF890" s="138"/>
      <c r="AG890" s="138"/>
    </row>
    <row r="891" ht="13.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  <c r="AC891" s="138"/>
      <c r="AD891" s="138"/>
      <c r="AE891" s="138"/>
      <c r="AF891" s="138"/>
      <c r="AG891" s="138"/>
    </row>
    <row r="892" ht="13.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  <c r="AC892" s="138"/>
      <c r="AD892" s="138"/>
      <c r="AE892" s="138"/>
      <c r="AF892" s="138"/>
      <c r="AG892" s="138"/>
    </row>
    <row r="893" ht="13.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  <c r="AC893" s="138"/>
      <c r="AD893" s="138"/>
      <c r="AE893" s="138"/>
      <c r="AF893" s="138"/>
      <c r="AG893" s="138"/>
    </row>
    <row r="894" ht="13.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  <c r="AC894" s="138"/>
      <c r="AD894" s="138"/>
      <c r="AE894" s="138"/>
      <c r="AF894" s="138"/>
      <c r="AG894" s="138"/>
    </row>
    <row r="895" ht="13.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  <c r="AC895" s="138"/>
      <c r="AD895" s="138"/>
      <c r="AE895" s="138"/>
      <c r="AF895" s="138"/>
      <c r="AG895" s="138"/>
    </row>
    <row r="896" ht="13.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  <c r="AC896" s="138"/>
      <c r="AD896" s="138"/>
      <c r="AE896" s="138"/>
      <c r="AF896" s="138"/>
      <c r="AG896" s="138"/>
    </row>
    <row r="897" ht="13.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  <c r="AC897" s="138"/>
      <c r="AD897" s="138"/>
      <c r="AE897" s="138"/>
      <c r="AF897" s="138"/>
      <c r="AG897" s="138"/>
    </row>
    <row r="898" ht="13.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  <c r="AC898" s="138"/>
      <c r="AD898" s="138"/>
      <c r="AE898" s="138"/>
      <c r="AF898" s="138"/>
      <c r="AG898" s="138"/>
    </row>
    <row r="899" ht="13.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  <c r="AC899" s="138"/>
      <c r="AD899" s="138"/>
      <c r="AE899" s="138"/>
      <c r="AF899" s="138"/>
      <c r="AG899" s="138"/>
    </row>
    <row r="900" ht="13.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  <c r="AC900" s="138"/>
      <c r="AD900" s="138"/>
      <c r="AE900" s="138"/>
      <c r="AF900" s="138"/>
      <c r="AG900" s="138"/>
    </row>
    <row r="901" ht="13.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  <c r="AC901" s="138"/>
      <c r="AD901" s="138"/>
      <c r="AE901" s="138"/>
      <c r="AF901" s="138"/>
      <c r="AG901" s="138"/>
    </row>
    <row r="902" ht="13.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  <c r="AC902" s="138"/>
      <c r="AD902" s="138"/>
      <c r="AE902" s="138"/>
      <c r="AF902" s="138"/>
      <c r="AG902" s="138"/>
    </row>
    <row r="903" ht="13.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  <c r="AC903" s="138"/>
      <c r="AD903" s="138"/>
      <c r="AE903" s="138"/>
      <c r="AF903" s="138"/>
      <c r="AG903" s="138"/>
    </row>
    <row r="904" ht="13.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  <c r="AC904" s="138"/>
      <c r="AD904" s="138"/>
      <c r="AE904" s="138"/>
      <c r="AF904" s="138"/>
      <c r="AG904" s="138"/>
    </row>
    <row r="905" ht="13.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  <c r="AC905" s="138"/>
      <c r="AD905" s="138"/>
      <c r="AE905" s="138"/>
      <c r="AF905" s="138"/>
      <c r="AG905" s="138"/>
    </row>
    <row r="906" ht="13.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  <c r="AC906" s="138"/>
      <c r="AD906" s="138"/>
      <c r="AE906" s="138"/>
      <c r="AF906" s="138"/>
      <c r="AG906" s="138"/>
    </row>
    <row r="907" ht="13.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  <c r="AC907" s="138"/>
      <c r="AD907" s="138"/>
      <c r="AE907" s="138"/>
      <c r="AF907" s="138"/>
      <c r="AG907" s="138"/>
    </row>
    <row r="908" ht="13.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  <c r="AC908" s="138"/>
      <c r="AD908" s="138"/>
      <c r="AE908" s="138"/>
      <c r="AF908" s="138"/>
      <c r="AG908" s="138"/>
    </row>
    <row r="909" ht="13.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  <c r="AC909" s="138"/>
      <c r="AD909" s="138"/>
      <c r="AE909" s="138"/>
      <c r="AF909" s="138"/>
      <c r="AG909" s="138"/>
    </row>
    <row r="910" ht="13.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  <c r="AC910" s="138"/>
      <c r="AD910" s="138"/>
      <c r="AE910" s="138"/>
      <c r="AF910" s="138"/>
      <c r="AG910" s="138"/>
    </row>
    <row r="911" ht="13.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  <c r="AG911" s="138"/>
    </row>
    <row r="912" ht="13.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  <c r="AC912" s="138"/>
      <c r="AD912" s="138"/>
      <c r="AE912" s="138"/>
      <c r="AF912" s="138"/>
      <c r="AG912" s="138"/>
    </row>
    <row r="913" ht="13.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  <c r="AC913" s="138"/>
      <c r="AD913" s="138"/>
      <c r="AE913" s="138"/>
      <c r="AF913" s="138"/>
      <c r="AG913" s="138"/>
    </row>
    <row r="914" ht="13.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  <c r="AC914" s="138"/>
      <c r="AD914" s="138"/>
      <c r="AE914" s="138"/>
      <c r="AF914" s="138"/>
      <c r="AG914" s="138"/>
    </row>
    <row r="915" ht="13.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  <c r="AC915" s="138"/>
      <c r="AD915" s="138"/>
      <c r="AE915" s="138"/>
      <c r="AF915" s="138"/>
      <c r="AG915" s="138"/>
    </row>
    <row r="916" ht="13.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  <c r="AC916" s="138"/>
      <c r="AD916" s="138"/>
      <c r="AE916" s="138"/>
      <c r="AF916" s="138"/>
      <c r="AG916" s="138"/>
    </row>
    <row r="917" ht="13.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  <c r="AC917" s="138"/>
      <c r="AD917" s="138"/>
      <c r="AE917" s="138"/>
      <c r="AF917" s="138"/>
      <c r="AG917" s="138"/>
    </row>
    <row r="918" ht="13.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  <c r="AC918" s="138"/>
      <c r="AD918" s="138"/>
      <c r="AE918" s="138"/>
      <c r="AF918" s="138"/>
      <c r="AG918" s="138"/>
    </row>
    <row r="919" ht="13.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  <c r="AC919" s="138"/>
      <c r="AD919" s="138"/>
      <c r="AE919" s="138"/>
      <c r="AF919" s="138"/>
      <c r="AG919" s="138"/>
    </row>
    <row r="920" ht="13.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  <c r="AC920" s="138"/>
      <c r="AD920" s="138"/>
      <c r="AE920" s="138"/>
      <c r="AF920" s="138"/>
      <c r="AG920" s="138"/>
    </row>
    <row r="921" ht="13.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  <c r="AC921" s="138"/>
      <c r="AD921" s="138"/>
      <c r="AE921" s="138"/>
      <c r="AF921" s="138"/>
      <c r="AG921" s="138"/>
    </row>
    <row r="922" ht="13.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  <c r="AC922" s="138"/>
      <c r="AD922" s="138"/>
      <c r="AE922" s="138"/>
      <c r="AF922" s="138"/>
      <c r="AG922" s="138"/>
    </row>
    <row r="923" ht="13.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  <c r="AC923" s="138"/>
      <c r="AD923" s="138"/>
      <c r="AE923" s="138"/>
      <c r="AF923" s="138"/>
      <c r="AG923" s="138"/>
    </row>
    <row r="924" ht="13.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  <c r="AC924" s="138"/>
      <c r="AD924" s="138"/>
      <c r="AE924" s="138"/>
      <c r="AF924" s="138"/>
      <c r="AG924" s="138"/>
    </row>
    <row r="925" ht="13.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  <c r="AC925" s="138"/>
      <c r="AD925" s="138"/>
      <c r="AE925" s="138"/>
      <c r="AF925" s="138"/>
      <c r="AG925" s="138"/>
    </row>
    <row r="926" ht="13.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  <c r="AC926" s="138"/>
      <c r="AD926" s="138"/>
      <c r="AE926" s="138"/>
      <c r="AF926" s="138"/>
      <c r="AG926" s="138"/>
    </row>
    <row r="927" ht="13.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  <c r="AC927" s="138"/>
      <c r="AD927" s="138"/>
      <c r="AE927" s="138"/>
      <c r="AF927" s="138"/>
      <c r="AG927" s="138"/>
    </row>
    <row r="928" ht="13.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  <c r="AC928" s="138"/>
      <c r="AD928" s="138"/>
      <c r="AE928" s="138"/>
      <c r="AF928" s="138"/>
      <c r="AG928" s="138"/>
    </row>
    <row r="929" ht="13.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  <c r="AC929" s="138"/>
      <c r="AD929" s="138"/>
      <c r="AE929" s="138"/>
      <c r="AF929" s="138"/>
      <c r="AG929" s="138"/>
    </row>
    <row r="930" ht="13.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  <c r="AC930" s="138"/>
      <c r="AD930" s="138"/>
      <c r="AE930" s="138"/>
      <c r="AF930" s="138"/>
      <c r="AG930" s="138"/>
    </row>
    <row r="931" ht="13.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  <c r="AC931" s="138"/>
      <c r="AD931" s="138"/>
      <c r="AE931" s="138"/>
      <c r="AF931" s="138"/>
      <c r="AG931" s="138"/>
    </row>
    <row r="932" ht="13.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  <c r="AC932" s="138"/>
      <c r="AD932" s="138"/>
      <c r="AE932" s="138"/>
      <c r="AF932" s="138"/>
      <c r="AG932" s="138"/>
    </row>
    <row r="933" ht="13.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  <c r="AC933" s="138"/>
      <c r="AD933" s="138"/>
      <c r="AE933" s="138"/>
      <c r="AF933" s="138"/>
      <c r="AG933" s="138"/>
    </row>
    <row r="934" ht="13.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  <c r="AC934" s="138"/>
      <c r="AD934" s="138"/>
      <c r="AE934" s="138"/>
      <c r="AF934" s="138"/>
      <c r="AG934" s="138"/>
    </row>
    <row r="935" ht="13.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  <c r="AC935" s="138"/>
      <c r="AD935" s="138"/>
      <c r="AE935" s="138"/>
      <c r="AF935" s="138"/>
      <c r="AG935" s="138"/>
    </row>
    <row r="936" ht="13.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138"/>
      <c r="AD936" s="138"/>
      <c r="AE936" s="138"/>
      <c r="AF936" s="138"/>
      <c r="AG936" s="138"/>
    </row>
    <row r="937" ht="13.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  <c r="AD937" s="138"/>
      <c r="AE937" s="138"/>
      <c r="AF937" s="138"/>
      <c r="AG937" s="138"/>
    </row>
    <row r="938" ht="13.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  <c r="AC938" s="138"/>
      <c r="AD938" s="138"/>
      <c r="AE938" s="138"/>
      <c r="AF938" s="138"/>
      <c r="AG938" s="138"/>
    </row>
    <row r="939" ht="13.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  <c r="AC939" s="138"/>
      <c r="AD939" s="138"/>
      <c r="AE939" s="138"/>
      <c r="AF939" s="138"/>
      <c r="AG939" s="138"/>
    </row>
    <row r="940" ht="13.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  <c r="AC940" s="138"/>
      <c r="AD940" s="138"/>
      <c r="AE940" s="138"/>
      <c r="AF940" s="138"/>
      <c r="AG940" s="138"/>
    </row>
    <row r="941" ht="13.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  <c r="AC941" s="138"/>
      <c r="AD941" s="138"/>
      <c r="AE941" s="138"/>
      <c r="AF941" s="138"/>
      <c r="AG941" s="138"/>
    </row>
    <row r="942" ht="13.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  <c r="AC942" s="138"/>
      <c r="AD942" s="138"/>
      <c r="AE942" s="138"/>
      <c r="AF942" s="138"/>
      <c r="AG942" s="138"/>
    </row>
    <row r="943" ht="13.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  <c r="AC943" s="138"/>
      <c r="AD943" s="138"/>
      <c r="AE943" s="138"/>
      <c r="AF943" s="138"/>
      <c r="AG943" s="138"/>
    </row>
    <row r="944" ht="13.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  <c r="AB944" s="138"/>
      <c r="AC944" s="138"/>
      <c r="AD944" s="138"/>
      <c r="AE944" s="138"/>
      <c r="AF944" s="138"/>
      <c r="AG944" s="138"/>
    </row>
    <row r="945" ht="13.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  <c r="AC945" s="138"/>
      <c r="AD945" s="138"/>
      <c r="AE945" s="138"/>
      <c r="AF945" s="138"/>
      <c r="AG945" s="138"/>
    </row>
    <row r="946" ht="13.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  <c r="AB946" s="138"/>
      <c r="AC946" s="138"/>
      <c r="AD946" s="138"/>
      <c r="AE946" s="138"/>
      <c r="AF946" s="138"/>
      <c r="AG946" s="138"/>
    </row>
    <row r="947" ht="13.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  <c r="AB947" s="138"/>
      <c r="AC947" s="138"/>
      <c r="AD947" s="138"/>
      <c r="AE947" s="138"/>
      <c r="AF947" s="138"/>
      <c r="AG947" s="138"/>
    </row>
    <row r="948" ht="13.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  <c r="AB948" s="138"/>
      <c r="AC948" s="138"/>
      <c r="AD948" s="138"/>
      <c r="AE948" s="138"/>
      <c r="AF948" s="138"/>
      <c r="AG948" s="138"/>
    </row>
    <row r="949" ht="13.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  <c r="AB949" s="138"/>
      <c r="AC949" s="138"/>
      <c r="AD949" s="138"/>
      <c r="AE949" s="138"/>
      <c r="AF949" s="138"/>
      <c r="AG949" s="138"/>
    </row>
    <row r="950" ht="13.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  <c r="AB950" s="138"/>
      <c r="AC950" s="138"/>
      <c r="AD950" s="138"/>
      <c r="AE950" s="138"/>
      <c r="AF950" s="138"/>
      <c r="AG950" s="138"/>
    </row>
    <row r="951" ht="13.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  <c r="AB951" s="138"/>
      <c r="AC951" s="138"/>
      <c r="AD951" s="138"/>
      <c r="AE951" s="138"/>
      <c r="AF951" s="138"/>
      <c r="AG951" s="138"/>
    </row>
    <row r="952" ht="13.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  <c r="AB952" s="138"/>
      <c r="AC952" s="138"/>
      <c r="AD952" s="138"/>
      <c r="AE952" s="138"/>
      <c r="AF952" s="138"/>
      <c r="AG952" s="138"/>
    </row>
    <row r="953" ht="13.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  <c r="AC953" s="138"/>
      <c r="AD953" s="138"/>
      <c r="AE953" s="138"/>
      <c r="AF953" s="138"/>
      <c r="AG953" s="138"/>
    </row>
    <row r="954" ht="13.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  <c r="AB954" s="138"/>
      <c r="AC954" s="138"/>
      <c r="AD954" s="138"/>
      <c r="AE954" s="138"/>
      <c r="AF954" s="138"/>
      <c r="AG954" s="138"/>
    </row>
    <row r="955" ht="13.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  <c r="AC955" s="138"/>
      <c r="AD955" s="138"/>
      <c r="AE955" s="138"/>
      <c r="AF955" s="138"/>
      <c r="AG955" s="138"/>
    </row>
    <row r="956" ht="13.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  <c r="AB956" s="138"/>
      <c r="AC956" s="138"/>
      <c r="AD956" s="138"/>
      <c r="AE956" s="138"/>
      <c r="AF956" s="138"/>
      <c r="AG956" s="138"/>
    </row>
    <row r="957" ht="13.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  <c r="AC957" s="138"/>
      <c r="AD957" s="138"/>
      <c r="AE957" s="138"/>
      <c r="AF957" s="138"/>
      <c r="AG957" s="138"/>
    </row>
    <row r="958" ht="13.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  <c r="AB958" s="138"/>
      <c r="AC958" s="138"/>
      <c r="AD958" s="138"/>
      <c r="AE958" s="138"/>
      <c r="AF958" s="138"/>
      <c r="AG958" s="138"/>
    </row>
    <row r="959" ht="13.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  <c r="AC959" s="138"/>
      <c r="AD959" s="138"/>
      <c r="AE959" s="138"/>
      <c r="AF959" s="138"/>
      <c r="AG959" s="138"/>
    </row>
    <row r="960" ht="13.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  <c r="AB960" s="138"/>
      <c r="AC960" s="138"/>
      <c r="AD960" s="138"/>
      <c r="AE960" s="138"/>
      <c r="AF960" s="138"/>
      <c r="AG960" s="138"/>
    </row>
    <row r="961" ht="13.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  <c r="AB961" s="138"/>
      <c r="AC961" s="138"/>
      <c r="AD961" s="138"/>
      <c r="AE961" s="138"/>
      <c r="AF961" s="138"/>
      <c r="AG961" s="138"/>
    </row>
    <row r="962" ht="13.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  <c r="AB962" s="138"/>
      <c r="AC962" s="138"/>
      <c r="AD962" s="138"/>
      <c r="AE962" s="138"/>
      <c r="AF962" s="138"/>
      <c r="AG962" s="138"/>
    </row>
    <row r="963" ht="13.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  <c r="AB963" s="138"/>
      <c r="AC963" s="138"/>
      <c r="AD963" s="138"/>
      <c r="AE963" s="138"/>
      <c r="AF963" s="138"/>
      <c r="AG963" s="138"/>
    </row>
    <row r="964" ht="13.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  <c r="AB964" s="138"/>
      <c r="AC964" s="138"/>
      <c r="AD964" s="138"/>
      <c r="AE964" s="138"/>
      <c r="AF964" s="138"/>
      <c r="AG964" s="138"/>
    </row>
    <row r="965" ht="13.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  <c r="AB965" s="138"/>
      <c r="AC965" s="138"/>
      <c r="AD965" s="138"/>
      <c r="AE965" s="138"/>
      <c r="AF965" s="138"/>
      <c r="AG965" s="138"/>
    </row>
    <row r="966" ht="13.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  <c r="AB966" s="138"/>
      <c r="AC966" s="138"/>
      <c r="AD966" s="138"/>
      <c r="AE966" s="138"/>
      <c r="AF966" s="138"/>
      <c r="AG966" s="138"/>
    </row>
    <row r="967" ht="13.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  <c r="AB967" s="138"/>
      <c r="AC967" s="138"/>
      <c r="AD967" s="138"/>
      <c r="AE967" s="138"/>
      <c r="AF967" s="138"/>
      <c r="AG967" s="138"/>
    </row>
    <row r="968" ht="13.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  <c r="AB968" s="138"/>
      <c r="AC968" s="138"/>
      <c r="AD968" s="138"/>
      <c r="AE968" s="138"/>
      <c r="AF968" s="138"/>
      <c r="AG968" s="138"/>
    </row>
    <row r="969" ht="13.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  <c r="AB969" s="138"/>
      <c r="AC969" s="138"/>
      <c r="AD969" s="138"/>
      <c r="AE969" s="138"/>
      <c r="AF969" s="138"/>
      <c r="AG969" s="138"/>
    </row>
    <row r="970" ht="13.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  <c r="AB970" s="138"/>
      <c r="AC970" s="138"/>
      <c r="AD970" s="138"/>
      <c r="AE970" s="138"/>
      <c r="AF970" s="138"/>
      <c r="AG970" s="138"/>
    </row>
    <row r="971" ht="13.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  <c r="AB971" s="138"/>
      <c r="AC971" s="138"/>
      <c r="AD971" s="138"/>
      <c r="AE971" s="138"/>
      <c r="AF971" s="138"/>
      <c r="AG971" s="138"/>
    </row>
    <row r="972" ht="13.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  <c r="AB972" s="138"/>
      <c r="AC972" s="138"/>
      <c r="AD972" s="138"/>
      <c r="AE972" s="138"/>
      <c r="AF972" s="138"/>
      <c r="AG972" s="138"/>
    </row>
    <row r="973" ht="13.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  <c r="AB973" s="138"/>
      <c r="AC973" s="138"/>
      <c r="AD973" s="138"/>
      <c r="AE973" s="138"/>
      <c r="AF973" s="138"/>
      <c r="AG973" s="138"/>
    </row>
    <row r="974" ht="13.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  <c r="AB974" s="138"/>
      <c r="AC974" s="138"/>
      <c r="AD974" s="138"/>
      <c r="AE974" s="138"/>
      <c r="AF974" s="138"/>
      <c r="AG974" s="138"/>
    </row>
    <row r="975" ht="13.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  <c r="AB975" s="138"/>
      <c r="AC975" s="138"/>
      <c r="AD975" s="138"/>
      <c r="AE975" s="138"/>
      <c r="AF975" s="138"/>
      <c r="AG975" s="138"/>
    </row>
    <row r="976" ht="13.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  <c r="AB976" s="138"/>
      <c r="AC976" s="138"/>
      <c r="AD976" s="138"/>
      <c r="AE976" s="138"/>
      <c r="AF976" s="138"/>
      <c r="AG976" s="138"/>
    </row>
    <row r="977" ht="13.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  <c r="AB977" s="138"/>
      <c r="AC977" s="138"/>
      <c r="AD977" s="138"/>
      <c r="AE977" s="138"/>
      <c r="AF977" s="138"/>
      <c r="AG977" s="138"/>
    </row>
    <row r="978" ht="13.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  <c r="AB978" s="138"/>
      <c r="AC978" s="138"/>
      <c r="AD978" s="138"/>
      <c r="AE978" s="138"/>
      <c r="AF978" s="138"/>
      <c r="AG978" s="138"/>
    </row>
    <row r="979" ht="13.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  <c r="AB979" s="138"/>
      <c r="AC979" s="138"/>
      <c r="AD979" s="138"/>
      <c r="AE979" s="138"/>
      <c r="AF979" s="138"/>
      <c r="AG979" s="138"/>
    </row>
    <row r="980" ht="13.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  <c r="AB980" s="138"/>
      <c r="AC980" s="138"/>
      <c r="AD980" s="138"/>
      <c r="AE980" s="138"/>
      <c r="AF980" s="138"/>
      <c r="AG980" s="138"/>
    </row>
    <row r="981" ht="13.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  <c r="AB981" s="138"/>
      <c r="AC981" s="138"/>
      <c r="AD981" s="138"/>
      <c r="AE981" s="138"/>
      <c r="AF981" s="138"/>
      <c r="AG981" s="138"/>
    </row>
    <row r="982" ht="13.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  <c r="AB982" s="138"/>
      <c r="AC982" s="138"/>
      <c r="AD982" s="138"/>
      <c r="AE982" s="138"/>
      <c r="AF982" s="138"/>
      <c r="AG982" s="138"/>
    </row>
    <row r="983" ht="13.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  <c r="AB983" s="138"/>
      <c r="AC983" s="138"/>
      <c r="AD983" s="138"/>
      <c r="AE983" s="138"/>
      <c r="AF983" s="138"/>
      <c r="AG983" s="138"/>
    </row>
    <row r="984" ht="13.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  <c r="AB984" s="138"/>
      <c r="AC984" s="138"/>
      <c r="AD984" s="138"/>
      <c r="AE984" s="138"/>
      <c r="AF984" s="138"/>
      <c r="AG984" s="138"/>
    </row>
    <row r="985" ht="13.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  <c r="AB985" s="138"/>
      <c r="AC985" s="138"/>
      <c r="AD985" s="138"/>
      <c r="AE985" s="138"/>
      <c r="AF985" s="138"/>
      <c r="AG985" s="138"/>
    </row>
    <row r="986" ht="13.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  <c r="AB986" s="138"/>
      <c r="AC986" s="138"/>
      <c r="AD986" s="138"/>
      <c r="AE986" s="138"/>
      <c r="AF986" s="138"/>
      <c r="AG986" s="138"/>
    </row>
    <row r="987" ht="13.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  <c r="AB987" s="138"/>
      <c r="AC987" s="138"/>
      <c r="AD987" s="138"/>
      <c r="AE987" s="138"/>
      <c r="AF987" s="138"/>
      <c r="AG987" s="138"/>
    </row>
    <row r="988" ht="13.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  <c r="AB988" s="138"/>
      <c r="AC988" s="138"/>
      <c r="AD988" s="138"/>
      <c r="AE988" s="138"/>
      <c r="AF988" s="138"/>
      <c r="AG988" s="138"/>
    </row>
    <row r="989" ht="13.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  <c r="AB989" s="138"/>
      <c r="AC989" s="138"/>
      <c r="AD989" s="138"/>
      <c r="AE989" s="138"/>
      <c r="AF989" s="138"/>
      <c r="AG989" s="138"/>
    </row>
    <row r="990" ht="13.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  <c r="AB990" s="138"/>
      <c r="AC990" s="138"/>
      <c r="AD990" s="138"/>
      <c r="AE990" s="138"/>
      <c r="AF990" s="138"/>
      <c r="AG990" s="138"/>
    </row>
    <row r="991" ht="13.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  <c r="AB991" s="138"/>
      <c r="AC991" s="138"/>
      <c r="AD991" s="138"/>
      <c r="AE991" s="138"/>
      <c r="AF991" s="138"/>
      <c r="AG991" s="138"/>
    </row>
    <row r="992" ht="13.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  <c r="AB992" s="138"/>
      <c r="AC992" s="138"/>
      <c r="AD992" s="138"/>
      <c r="AE992" s="138"/>
      <c r="AF992" s="138"/>
      <c r="AG992" s="138"/>
    </row>
    <row r="993" ht="13.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  <c r="AB993" s="138"/>
      <c r="AC993" s="138"/>
      <c r="AD993" s="138"/>
      <c r="AE993" s="138"/>
      <c r="AF993" s="138"/>
      <c r="AG993" s="138"/>
    </row>
    <row r="994" ht="13.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  <c r="AG994" s="138"/>
    </row>
    <row r="995" ht="13.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  <c r="AB995" s="138"/>
      <c r="AC995" s="138"/>
      <c r="AD995" s="138"/>
      <c r="AE995" s="138"/>
      <c r="AF995" s="138"/>
      <c r="AG995" s="138"/>
    </row>
    <row r="996" ht="13.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  <c r="AB996" s="138"/>
      <c r="AC996" s="138"/>
      <c r="AD996" s="138"/>
      <c r="AE996" s="138"/>
      <c r="AF996" s="138"/>
      <c r="AG996" s="138"/>
    </row>
    <row r="997" ht="13.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  <c r="AB997" s="138"/>
      <c r="AC997" s="138"/>
      <c r="AD997" s="138"/>
      <c r="AE997" s="138"/>
      <c r="AF997" s="138"/>
      <c r="AG997" s="138"/>
    </row>
    <row r="998" ht="13.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  <c r="AB998" s="138"/>
      <c r="AC998" s="138"/>
      <c r="AD998" s="138"/>
      <c r="AE998" s="138"/>
      <c r="AF998" s="138"/>
      <c r="AG998" s="138"/>
    </row>
    <row r="999" ht="13.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  <c r="AB999" s="138"/>
      <c r="AC999" s="138"/>
      <c r="AD999" s="138"/>
      <c r="AE999" s="138"/>
      <c r="AF999" s="138"/>
      <c r="AG999" s="138"/>
    </row>
    <row r="1000" ht="13.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  <c r="AB1000" s="138"/>
      <c r="AC1000" s="138"/>
      <c r="AD1000" s="138"/>
      <c r="AE1000" s="138"/>
      <c r="AF1000" s="138"/>
      <c r="AG1000" s="138"/>
    </row>
  </sheetData>
  <mergeCells count="18">
    <mergeCell ref="H2:K2"/>
    <mergeCell ref="M2:P2"/>
    <mergeCell ref="B18:F18"/>
    <mergeCell ref="G18:K18"/>
    <mergeCell ref="L18:P18"/>
    <mergeCell ref="C19:F19"/>
    <mergeCell ref="H19:K19"/>
    <mergeCell ref="M19:P19"/>
    <mergeCell ref="T2:W2"/>
    <mergeCell ref="Y2:AB2"/>
    <mergeCell ref="B1:F1"/>
    <mergeCell ref="G1:K1"/>
    <mergeCell ref="L1:P1"/>
    <mergeCell ref="S1:W1"/>
    <mergeCell ref="X1:AB1"/>
    <mergeCell ref="AC1:AG1"/>
    <mergeCell ref="C2:F2"/>
    <mergeCell ref="AD2:AG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2025-07-22T14:31:47Z</dcterms:created>
  <dc:creator>ILARIA BELLINI</dc:creator>
</cp:coreProperties>
</file>