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ano Finanziario" sheetId="1" r:id="rId4"/>
    <sheet state="visible" name="====" sheetId="2" r:id="rId5"/>
    <sheet state="visible" name="Salari e Stipendi" sheetId="3" r:id="rId6"/>
    <sheet state="visible" name="Materie Prime-Consumo " sheetId="4" r:id="rId7"/>
    <sheet state="visible" name="Utenze" sheetId="5" r:id="rId8"/>
    <sheet state="visible" name="Commisisoni Portali" sheetId="6" r:id="rId9"/>
    <sheet state="visible" name="Tasse e Imposte" sheetId="7" r:id="rId10"/>
    <sheet state="visible" name="Mutui e Finaziamenti" sheetId="8" r:id="rId11"/>
    <sheet state="visible" name="Canoni e servizi" sheetId="9" r:id="rId12"/>
    <sheet state="visible" name="Godimento Beni di Terzi" sheetId="10" r:id="rId13"/>
    <sheet state="visible" name="Consulenze" sheetId="11" r:id="rId14"/>
    <sheet state="visible" name=" Varie ed Eventuali" sheetId="12" r:id="rId15"/>
    <sheet state="visible" name="Ristr. Apt SDP Jr" sheetId="13" r:id="rId16"/>
  </sheets>
  <definedNames/>
  <calcPr/>
  <extLst>
    <ext uri="GoogleSheetsCustomDataVersion2">
      <go:sheetsCustomData xmlns:go="http://customooxmlschemas.google.com/" r:id="rId17" roundtripDataChecksum="wzTOzxSxvivc4D/J1nK896Aqy+boR1lWT5GQ8xUEA+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3">
      <text>
        <t xml:space="preserve">======
ID#AAABqkkiKCE
Amministrazione    (2025-09-04 14:31:50)
SALDO AL 29/08</t>
      </text>
    </comment>
    <comment authorId="0" ref="K34">
      <text>
        <t xml:space="preserve">======
ID#AAABo-x0jfg
Amministrazione    (2025-08-06 15:12:22)
SALDO INTESA AL 31/08</t>
      </text>
    </comment>
    <comment authorId="0" ref="A16">
      <text>
        <t xml:space="preserve">======
ID#AAABbsKr_mY
Economato Panorama Group    (2025-01-24 11:45:42)
Ripartato consuntivo da conto economico menisle 2024 secondo accordi con fornitori</t>
      </text>
    </comment>
    <comment authorId="0" ref="A6">
      <text>
        <t xml:space="preserve">======
ID#AAABct2InyY
Economato Panorama Group    (2025-01-24 09:38:06)
33,33% del Consuntivo 2024</t>
      </text>
    </comment>
    <comment authorId="0" ref="A7">
      <text>
        <t xml:space="preserve">======
ID#AAABct2InyM
Economato Panorama Group    (2025-01-24 09:20:27)
Consuntivo 2024</t>
      </text>
    </comment>
    <comment authorId="0" ref="A5">
      <text>
        <t xml:space="preserve">======
ID#AAABct2InyI
Economato Panorama Group    (2025-01-24 09:12:40)
Consuntivo 2024</t>
      </text>
    </comment>
    <comment authorId="0" ref="A9">
      <text>
        <t xml:space="preserve">======
ID#AAABWzVR1yQ
Antonio Russo    (2024-10-07 08:39:38)
Hotel+Residence+CVM</t>
      </text>
    </comment>
    <comment authorId="0" ref="A14">
      <text>
        <t xml:space="preserve">======
ID#AAABVn13ZXU
Antonio Russo    (2024-09-20 08:25:32)
Stima</t>
      </text>
    </comment>
  </commentList>
  <extLst>
    <ext uri="GoogleSheetsCustomDataVersion2">
      <go:sheetsCustomData xmlns:go="http://customooxmlschemas.google.com/" r:id="rId1" roundtripDataSignature="AMtx7mhxPtbnSNDTX5SZ7ooc1B7EuBG5m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">
      <text>
        <t xml:space="preserve">======
ID#AAABc0K2qKs
Amministrazione    (2025-01-28 16:04:53)
ACCONTO IVA 2025 - SCAD PAG 27/12/2025</t>
      </text>
    </comment>
    <comment authorId="0" ref="B10">
      <text>
        <t xml:space="preserve">======
ID#AAABcwW3oLc
Amministrazione    (2025-01-27 13:30:23)
33,33% del complessivo versato</t>
      </text>
    </comment>
  </commentList>
  <extLst>
    <ext uri="GoogleSheetsCustomDataVersion2">
      <go:sheetsCustomData xmlns:go="http://customooxmlschemas.google.com/" r:id="rId1" roundtripDataSignature="AMtx7mgHuDv/NobVqUXgk3CqhukmfQsvO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======
ID#AAABcrN5_B4
Economato Panorama Group    (2025-01-24 11:21:30)
Valore indicativo di € 8000,00 divisi per trimestri</t>
      </text>
    </comment>
  </commentList>
  <extLst>
    <ext uri="GoogleSheetsCustomDataVersion2">
      <go:sheetsCustomData xmlns:go="http://customooxmlschemas.google.com/" r:id="rId1" roundtripDataSignature="AMtx7mjztxcjlFRI/WxQJ1HIjGlQQnWfb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ID#AAABbsKr_mU
Economato Panorama Group    (2025-01-24 11:30:25)
Valore stimato su fatturato 2024</t>
      </text>
    </comment>
    <comment authorId="0" ref="B4">
      <text>
        <t xml:space="preserve">======
ID#AAABcrN5_B8
Economato Panorama Group    (2025-01-24 11:30:18)
Valore stimato su fatturato 2024</t>
      </text>
    </comment>
  </commentList>
  <extLst>
    <ext uri="GoogleSheetsCustomDataVersion2">
      <go:sheetsCustomData xmlns:go="http://customooxmlschemas.google.com/" r:id="rId1" roundtripDataSignature="AMtx7miN0aPFIY5amv9/TryN0EnyWD8wFQ=="/>
    </ext>
  </extLst>
</comments>
</file>

<file path=xl/sharedStrings.xml><?xml version="1.0" encoding="utf-8"?>
<sst xmlns="http://schemas.openxmlformats.org/spreadsheetml/2006/main" count="372" uniqueCount="169">
  <si>
    <t>ORTI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</si>
  <si>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</si>
  <si>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</si>
  <si>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</si>
  <si>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</si>
  <si>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</si>
  <si>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</si>
  <si>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</si>
  <si>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</si>
  <si>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</si>
  <si>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</si>
  <si>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</si>
  <si>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</si>
  <si>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SALDO MESE PRECED</t>
  </si>
  <si>
    <t>TOTALI/TEST</t>
  </si>
  <si>
    <t xml:space="preserve">Entrate Hotel </t>
  </si>
  <si>
    <t>Entrate Residence</t>
  </si>
  <si>
    <t>Entrate CVM</t>
  </si>
  <si>
    <t>Entrate Supermercato</t>
  </si>
  <si>
    <t>Rientro Sospesi</t>
  </si>
  <si>
    <t>Caparre Intur</t>
  </si>
  <si>
    <t>TOTALE ENTRATE</t>
  </si>
  <si>
    <t>====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</si>
  <si>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</si>
  <si>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</si>
  <si>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</si>
  <si>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</si>
  <si>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</si>
  <si>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</si>
  <si>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</si>
  <si>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 di Terzi</t>
  </si>
  <si>
    <t>Varie ed Eventuali</t>
  </si>
  <si>
    <t>Canoni e servizi</t>
  </si>
  <si>
    <t>Ristr. Apt SDP Jr</t>
  </si>
  <si>
    <t>Deposito Fitto</t>
  </si>
  <si>
    <t xml:space="preserve">TOTALE USCITE </t>
  </si>
  <si>
    <t>Cash Flow</t>
  </si>
  <si>
    <t>,</t>
  </si>
  <si>
    <t>Saldo MPS</t>
  </si>
  <si>
    <t>Saldo Intesa</t>
  </si>
  <si>
    <t xml:space="preserve">TOTALE BANCHE </t>
  </si>
  <si>
    <t>CASSA CONTANTI</t>
  </si>
  <si>
    <t xml:space="preserve">Saldo di Periodo/Proiettato </t>
  </si>
  <si>
    <t xml:space="preserve">Fin. MPS 60 mesi </t>
  </si>
  <si>
    <t xml:space="preserve">TOTALE AFFIDAMENTI  </t>
  </si>
  <si>
    <t>CASH FLOW CON AFFID.</t>
  </si>
  <si>
    <t>Totale Lavori 2024</t>
  </si>
  <si>
    <t xml:space="preserve">SALARI </t>
  </si>
  <si>
    <t xml:space="preserve">F24 </t>
  </si>
  <si>
    <t xml:space="preserve">   </t>
  </si>
  <si>
    <t xml:space="preserve">Materie Prime e Consumo </t>
  </si>
  <si>
    <t>A. Migliore srl</t>
  </si>
  <si>
    <t>Abiti da lavoro Cavaliere srls</t>
  </si>
  <si>
    <t>Adra srl</t>
  </si>
  <si>
    <t>Affinito srl</t>
  </si>
  <si>
    <t>Alberto D'Urso</t>
  </si>
  <si>
    <t>Amalfi sei esse</t>
  </si>
  <si>
    <t>Amato Filippo</t>
  </si>
  <si>
    <t>Alfera srl</t>
  </si>
  <si>
    <t>Allestimenti Di Palo</t>
  </si>
  <si>
    <t>Amato Prisco pane</t>
  </si>
  <si>
    <t>Aniello Bisogno &amp; Figli</t>
  </si>
  <si>
    <t>Attianese Frutta e Verdura</t>
  </si>
  <si>
    <t>Apicella Lorenzo</t>
  </si>
  <si>
    <t>B&amp;G Di Palo Commercio</t>
  </si>
  <si>
    <t>Bellagaia</t>
  </si>
  <si>
    <t>Campitiello Fabio</t>
  </si>
  <si>
    <t>Casa Vinicola Sammarco</t>
  </si>
  <si>
    <t>Caseificio Green Valley</t>
  </si>
  <si>
    <t>Centro Distribuzione Maglio</t>
  </si>
  <si>
    <t>Centro service Snc</t>
  </si>
  <si>
    <t>Cica</t>
  </si>
  <si>
    <t>Cimmini Filomena</t>
  </si>
  <si>
    <t>Creative Idea</t>
  </si>
  <si>
    <t>Cuzziol grandi Vini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</si>
  <si>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</si>
  <si>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</si>
  <si>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</si>
  <si>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</si>
  <si>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</si>
  <si>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</si>
  <si>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</si>
  <si>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General Beverage</t>
  </si>
  <si>
    <t>Giacinto Di Palma</t>
  </si>
  <si>
    <t>Granato Vincenzo</t>
  </si>
  <si>
    <t>Granato Nino</t>
  </si>
  <si>
    <t>Hotel Service</t>
  </si>
  <si>
    <t>I.C.P srl</t>
  </si>
  <si>
    <t>Il centro CSC</t>
  </si>
  <si>
    <t>Il piacere della tavola</t>
  </si>
  <si>
    <t>La Contadina Srl</t>
  </si>
  <si>
    <t>La fotografia di Celentino Fortunato</t>
  </si>
  <si>
    <t xml:space="preserve">La Nuova Autocarrozzaria </t>
  </si>
  <si>
    <t>Le Croissant srl</t>
  </si>
  <si>
    <t>L'Europea</t>
  </si>
  <si>
    <t>Napolamp</t>
  </si>
  <si>
    <t>Ninni</t>
  </si>
  <si>
    <t>Oceano Distribuzione</t>
  </si>
  <si>
    <t>Primavera Servizi</t>
  </si>
  <si>
    <t>Pregis</t>
  </si>
  <si>
    <t>Prisa</t>
  </si>
  <si>
    <t>SIAE</t>
  </si>
  <si>
    <t>Salzano Tiziano</t>
  </si>
  <si>
    <t>Samar</t>
  </si>
  <si>
    <t>Studio Quattro</t>
  </si>
  <si>
    <t>Tecno Piscine</t>
  </si>
  <si>
    <t>Tur.Com</t>
  </si>
  <si>
    <t>Valgarda Srl</t>
  </si>
  <si>
    <t>Vicart</t>
  </si>
  <si>
    <t>Vinpas Vini</t>
  </si>
  <si>
    <t>RID</t>
  </si>
  <si>
    <t>Energia elettrica</t>
  </si>
  <si>
    <t>Gas</t>
  </si>
  <si>
    <t>Ausino</t>
  </si>
  <si>
    <t xml:space="preserve">Vodafone </t>
  </si>
  <si>
    <t xml:space="preserve">Connectivia  </t>
  </si>
  <si>
    <t>Commisisoni Portali</t>
  </si>
  <si>
    <t xml:space="preserve">Commissioni Booking </t>
  </si>
  <si>
    <t xml:space="preserve">Commissioni Expedia </t>
  </si>
  <si>
    <t>IMU</t>
  </si>
  <si>
    <t>IMPOSTE</t>
  </si>
  <si>
    <t xml:space="preserve">TARI HOTEL </t>
  </si>
  <si>
    <t>IVA</t>
  </si>
  <si>
    <t>RITENUTE PROFESSIONISTI (1040)</t>
  </si>
  <si>
    <t>IMPOSTA DI SOGGIORNO HP</t>
  </si>
  <si>
    <t>IMPOSTA DI SOGGIORNO AR</t>
  </si>
  <si>
    <t>IMPOSTA DI SOGGIORNO CVM</t>
  </si>
  <si>
    <t>TARI RESIDENCE</t>
  </si>
  <si>
    <t>TARI CVM</t>
  </si>
  <si>
    <t>Mutui e Finanaziamenti</t>
  </si>
  <si>
    <t xml:space="preserve">Mutuo MPS </t>
  </si>
  <si>
    <t>Muto Intesa</t>
  </si>
  <si>
    <t>Finanziamento MPS 75k</t>
  </si>
  <si>
    <t>Proxima Service</t>
  </si>
  <si>
    <t>Hoxell</t>
  </si>
  <si>
    <t>Sistemi (E_solver)</t>
  </si>
  <si>
    <t xml:space="preserve">Zucchetti </t>
  </si>
  <si>
    <t>Pin App</t>
  </si>
  <si>
    <t>Spiagge</t>
  </si>
  <si>
    <t>Altamira</t>
  </si>
  <si>
    <t>Amalfi Web</t>
  </si>
  <si>
    <t>Commissioni Transato Pos</t>
  </si>
  <si>
    <t>Software tecnology</t>
  </si>
  <si>
    <t>Commissioni e spese Bancarie Varie(Imposta di bollo/tenuta conto/bonifici/etc )</t>
  </si>
  <si>
    <t>Noleggio Tesla</t>
  </si>
  <si>
    <t>Alba Leasing S.P.A.</t>
  </si>
  <si>
    <t>Gofimento Beni di Terzi</t>
  </si>
  <si>
    <t>Fitto Ramo d' Azienda</t>
  </si>
  <si>
    <t>Fitto AR</t>
  </si>
  <si>
    <t>Fitto CVM</t>
  </si>
  <si>
    <t>Consulenza del lavoro</t>
  </si>
  <si>
    <t>Consulenza fiscale</t>
  </si>
  <si>
    <t>Consulenza legale</t>
  </si>
  <si>
    <t>Autiero Architetto</t>
  </si>
  <si>
    <t>Fiorini architetto</t>
  </si>
  <si>
    <t>Marigliano Salvatore Architetto</t>
  </si>
  <si>
    <t>Mint studio di architettura</t>
  </si>
  <si>
    <t>Nese ing.</t>
  </si>
  <si>
    <t>Variee ed Eventuali</t>
  </si>
  <si>
    <t>Cantiere Carotenuto?</t>
  </si>
  <si>
    <t>Stima lavori</t>
  </si>
  <si>
    <r>
      <rPr>
        <rFont val="Arial"/>
        <color theme="1"/>
        <sz val="12.0"/>
      </rPr>
      <t xml:space="preserve">MIELE </t>
    </r>
    <r>
      <rPr>
        <rFont val="Arial"/>
        <color rgb="FF1155CC"/>
        <sz val="12.0"/>
        <u/>
      </rPr>
      <t>RI.BA</t>
    </r>
    <r>
      <rPr>
        <rFont val="Arial"/>
        <color theme="1"/>
        <sz val="12.0"/>
      </rPr>
      <t xml:space="preserve"> DAL 31/05/2025</t>
    </r>
  </si>
  <si>
    <t>ALESSIO</t>
  </si>
  <si>
    <t>S.T.E.</t>
  </si>
  <si>
    <t>PITTORE</t>
  </si>
  <si>
    <t>INFISSI ROMANO</t>
  </si>
  <si>
    <t>SANTELIA IMPIANTI</t>
  </si>
  <si>
    <t>NUSCO</t>
  </si>
  <si>
    <t xml:space="preserve">ARCHITETTO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</si>
</sst>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€-2]\ * #,##0.00_-;\-[$€-2]\ * #,##0.00_-;_-[$€-2]\ * &quot;-&quot;??_-;_-@"/>
    <numFmt numFmtId="165" formatCode="_-[$€-2]* #,##0.00_-;_-[$€-2]* \-#,##0.00_-;_-[$€-2]* &quot;-&quot;??_-;_-@"/>
    <numFmt numFmtId="166" formatCode="[$€-2]\ #,##0.00"/>
  </numFmts>
  <fonts count="24">
    <font>
      <sz val="12.0"/>
      <color theme="1"/>
      <name val="Aptos Narrow"/>
      <scheme val="minor"/>
    </font>
    <font>
      <b/>
      <sz val="27.0"/>
      <color theme="1"/>
      <name val="Arial"/>
    </font>
    <font>
      <sz val="12.0"/>
      <color theme="1"/>
      <name val="Aptos Narrow"/>
    </font>
    <font>
      <b/>
      <sz val="12.0"/>
      <color theme="1"/>
      <name val="Arial"/>
    </font>
    <font/>
    <font>
      <b/>
      <sz val="12.0"/>
      <color theme="1"/>
      <name val="Aptos Narrow"/>
    </font>
    <font>
      <sz val="12.0"/>
      <color rgb="FFFF0000"/>
      <name val="Arial"/>
    </font>
    <font>
      <sz val="12.0"/>
      <color theme="1"/>
      <name val="Arial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u/>
      <sz val="12.0"/>
      <color theme="1"/>
      <name val="Aptos Narrow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sz val="8.0"/>
      <color rgb="FF000000"/>
      <name val="Verdana"/>
    </font>
    <font>
      <sz val="12.0"/>
      <color rgb="FF000000"/>
      <name val="Arial"/>
    </font>
    <font>
      <sz val="12.0"/>
      <color rgb="FF000000"/>
      <name val="&quot;Aptos Narrow&quot;"/>
    </font>
    <font>
      <u/>
      <sz val="12.0"/>
      <color rgb="FF0000FF"/>
      <name val="Arial"/>
    </font>
    <font>
      <b/>
      <sz val="12.0"/>
      <color rgb="FFFF0000"/>
      <name val="Aptos Narrow"/>
    </font>
    <font>
      <b/>
      <sz val="12.0"/>
      <color rgb="FFFF0000"/>
      <name val="Arial"/>
    </font>
    <font>
      <b/>
      <color theme="1"/>
      <name val="Arial"/>
    </font>
    <font>
      <u/>
      <sz val="12.0"/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FED71"/>
        <bgColor rgb="FFFFED7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Font="1"/>
    <xf borderId="5" fillId="0" fontId="7" numFmtId="164" xfId="0" applyAlignment="1" applyBorder="1" applyFont="1" applyNumberFormat="1">
      <alignment readingOrder="0"/>
    </xf>
    <xf borderId="0" fillId="0" fontId="2" numFmtId="164" xfId="0" applyFont="1" applyNumberFormat="1"/>
    <xf borderId="0" fillId="0" fontId="3" numFmtId="0" xfId="0" applyAlignment="1" applyFont="1">
      <alignment horizontal="center" readingOrder="0"/>
    </xf>
    <xf borderId="0" fillId="0" fontId="6" numFmtId="0" xfId="0" applyFont="1"/>
    <xf borderId="5" fillId="0" fontId="7" numFmtId="164" xfId="0" applyBorder="1" applyFont="1" applyNumberFormat="1"/>
    <xf borderId="5" fillId="0" fontId="2" numFmtId="164" xfId="0" applyBorder="1" applyFont="1" applyNumberFormat="1"/>
    <xf borderId="0" fillId="0" fontId="7" numFmtId="0" xfId="0" applyAlignment="1" applyFont="1">
      <alignment readingOrder="0"/>
    </xf>
    <xf borderId="6" fillId="0" fontId="7" numFmtId="164" xfId="0" applyAlignment="1" applyBorder="1" applyFont="1" applyNumberFormat="1">
      <alignment readingOrder="0"/>
    </xf>
    <xf borderId="0" fillId="0" fontId="7" numFmtId="0" xfId="0" applyFont="1"/>
    <xf borderId="7" fillId="3" fontId="8" numFmtId="164" xfId="0" applyBorder="1" applyFill="1" applyFont="1" applyNumberFormat="1"/>
    <xf borderId="0" fillId="0" fontId="9" numFmtId="0" xfId="0" applyFont="1"/>
    <xf quotePrefix="1"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3" numFmtId="0" xfId="0" applyFont="1"/>
    <xf borderId="0" fillId="0" fontId="5" numFmtId="0" xfId="0" applyFont="1"/>
    <xf borderId="6" fillId="0" fontId="5" numFmtId="164" xfId="0" applyBorder="1" applyFont="1" applyNumberFormat="1"/>
    <xf borderId="6" fillId="0" fontId="3" numFmtId="164" xfId="0" applyBorder="1" applyFont="1" applyNumberFormat="1"/>
    <xf borderId="8" fillId="4" fontId="10" numFmtId="164" xfId="0" applyBorder="1" applyFill="1" applyFont="1" applyNumberFormat="1"/>
    <xf borderId="8" fillId="4" fontId="2" numFmtId="164" xfId="0" applyBorder="1" applyFont="1" applyNumberFormat="1"/>
    <xf borderId="9" fillId="0" fontId="11" numFmtId="164" xfId="0" applyAlignment="1" applyBorder="1" applyFont="1" applyNumberFormat="1">
      <alignment readingOrder="0"/>
    </xf>
    <xf borderId="9" fillId="0" fontId="5" numFmtId="164" xfId="0" applyBorder="1" applyFont="1" applyNumberFormat="1"/>
    <xf borderId="0" fillId="0" fontId="7" numFmtId="164" xfId="0" applyAlignment="1" applyFont="1" applyNumberFormat="1">
      <alignment readingOrder="0"/>
    </xf>
    <xf borderId="5" fillId="0" fontId="7" numFmtId="164" xfId="0" applyAlignment="1" applyBorder="1" applyFont="1" applyNumberFormat="1">
      <alignment horizontal="right" vertical="bottom"/>
    </xf>
    <xf borderId="5" fillId="0" fontId="7" numFmtId="165" xfId="0" applyAlignment="1" applyBorder="1" applyFont="1" applyNumberFormat="1">
      <alignment horizontal="right" readingOrder="0" vertical="bottom"/>
    </xf>
    <xf borderId="5" fillId="0" fontId="7" numFmtId="164" xfId="0" applyAlignment="1" applyBorder="1" applyFont="1" applyNumberFormat="1">
      <alignment horizontal="right" readingOrder="0" vertical="bottom"/>
    </xf>
    <xf borderId="6" fillId="0" fontId="7" numFmtId="164" xfId="0" applyBorder="1" applyFont="1" applyNumberFormat="1"/>
    <xf borderId="6" fillId="0" fontId="2" numFmtId="164" xfId="0" applyBorder="1" applyFont="1" applyNumberFormat="1"/>
    <xf borderId="6" fillId="0" fontId="2" numFmtId="164" xfId="0" applyAlignment="1" applyBorder="1" applyFont="1" applyNumberFormat="1">
      <alignment vertical="bottom"/>
    </xf>
    <xf borderId="8" fillId="5" fontId="12" numFmtId="164" xfId="0" applyBorder="1" applyFill="1" applyFont="1" applyNumberFormat="1"/>
    <xf borderId="8" fillId="5" fontId="5" numFmtId="164" xfId="0" applyBorder="1" applyFont="1" applyNumberFormat="1"/>
    <xf borderId="8" fillId="5" fontId="5" numFmtId="164" xfId="0" applyAlignment="1" applyBorder="1" applyFont="1" applyNumberFormat="1">
      <alignment horizontal="right" vertical="bottom"/>
    </xf>
    <xf borderId="8" fillId="6" fontId="3" numFmtId="164" xfId="0" applyBorder="1" applyFill="1" applyFont="1" applyNumberFormat="1"/>
    <xf borderId="8" fillId="6" fontId="13" numFmtId="164" xfId="0" applyBorder="1" applyFont="1" applyNumberFormat="1"/>
    <xf borderId="8" fillId="6" fontId="5" numFmtId="164" xfId="0" applyBorder="1" applyFont="1" applyNumberFormat="1"/>
    <xf borderId="9" fillId="0" fontId="3" numFmtId="164" xfId="0" applyAlignment="1" applyBorder="1" applyFont="1" applyNumberFormat="1">
      <alignment readingOrder="0"/>
    </xf>
    <xf borderId="9" fillId="0" fontId="14" numFmtId="164" xfId="0" applyBorder="1" applyFont="1" applyNumberFormat="1"/>
    <xf borderId="0" fillId="0" fontId="7" numFmtId="164" xfId="0" applyFont="1" applyNumberFormat="1"/>
    <xf borderId="8" fillId="7" fontId="15" numFmtId="164" xfId="0" applyBorder="1" applyFill="1" applyFont="1" applyNumberFormat="1"/>
    <xf borderId="8" fillId="7" fontId="2" numFmtId="164" xfId="0" applyBorder="1" applyFont="1" applyNumberFormat="1"/>
    <xf borderId="9" fillId="0" fontId="3" numFmtId="164" xfId="0" applyBorder="1" applyFont="1" applyNumberFormat="1"/>
    <xf borderId="0" fillId="0" fontId="7" numFmtId="166" xfId="0" applyAlignment="1" applyFont="1" applyNumberFormat="1">
      <alignment readingOrder="0"/>
    </xf>
    <xf borderId="0" fillId="8" fontId="16" numFmtId="164" xfId="0" applyAlignment="1" applyFill="1" applyFont="1" applyNumberFormat="1">
      <alignment horizontal="right" readingOrder="0"/>
    </xf>
    <xf borderId="0" fillId="0" fontId="5" numFmtId="0" xfId="0" applyAlignment="1" applyFont="1">
      <alignment horizontal="center"/>
    </xf>
    <xf borderId="9" fillId="0" fontId="2" numFmtId="164" xfId="0" applyAlignment="1" applyBorder="1" applyFont="1" applyNumberFormat="1">
      <alignment vertical="bottom"/>
    </xf>
    <xf borderId="10" fillId="0" fontId="2" numFmtId="164" xfId="0" applyBorder="1" applyFont="1" applyNumberFormat="1"/>
    <xf borderId="10" fillId="0" fontId="7" numFmtId="164" xfId="0" applyBorder="1" applyFont="1" applyNumberFormat="1"/>
    <xf borderId="10" fillId="0" fontId="2" numFmtId="164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10" fillId="0" fontId="3" numFmtId="164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readingOrder="0"/>
    </xf>
    <xf borderId="10" fillId="9" fontId="7" numFmtId="164" xfId="0" applyAlignment="1" applyBorder="1" applyFill="1" applyFont="1" applyNumberFormat="1">
      <alignment readingOrder="0"/>
    </xf>
    <xf borderId="10" fillId="10" fontId="7" numFmtId="164" xfId="0" applyAlignment="1" applyBorder="1" applyFill="1" applyFont="1" applyNumberFormat="1">
      <alignment readingOrder="0"/>
    </xf>
    <xf borderId="10" fillId="10" fontId="6" numFmtId="164" xfId="0" applyAlignment="1" applyBorder="1" applyFont="1" applyNumberFormat="1">
      <alignment readingOrder="0"/>
    </xf>
    <xf borderId="10" fillId="11" fontId="7" numFmtId="164" xfId="0" applyAlignment="1" applyBorder="1" applyFill="1" applyFont="1" applyNumberFormat="1">
      <alignment readingOrder="0"/>
    </xf>
    <xf borderId="10" fillId="11" fontId="17" numFmtId="164" xfId="0" applyAlignment="1" applyBorder="1" applyFont="1" applyNumberFormat="1">
      <alignment readingOrder="0"/>
    </xf>
    <xf borderId="5" fillId="0" fontId="5" numFmtId="164" xfId="0" applyBorder="1" applyFont="1" applyNumberFormat="1"/>
    <xf borderId="5" fillId="9" fontId="7" numFmtId="164" xfId="0" applyAlignment="1" applyBorder="1" applyFont="1" applyNumberFormat="1">
      <alignment readingOrder="0"/>
    </xf>
    <xf borderId="5" fillId="10" fontId="7" numFmtId="164" xfId="0" applyAlignment="1" applyBorder="1" applyFont="1" applyNumberFormat="1">
      <alignment readingOrder="0"/>
    </xf>
    <xf borderId="5" fillId="11" fontId="7" numFmtId="164" xfId="0" applyAlignment="1" applyBorder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vertical="bottom"/>
    </xf>
    <xf borderId="11" fillId="0" fontId="18" numFmtId="164" xfId="0" applyAlignment="1" applyBorder="1" applyFont="1" applyNumberFormat="1">
      <alignment vertical="bottom"/>
    </xf>
    <xf borderId="11" fillId="0" fontId="17" numFmtId="164" xfId="0" applyAlignment="1" applyBorder="1" applyFont="1" applyNumberFormat="1">
      <alignment horizontal="right" readingOrder="0" vertical="bottom"/>
    </xf>
    <xf borderId="0" fillId="0" fontId="7" numFmtId="164" xfId="0" applyAlignment="1" applyFont="1" applyNumberFormat="1">
      <alignment readingOrder="0" vertical="bottom"/>
    </xf>
    <xf borderId="11" fillId="9" fontId="17" numFmtId="164" xfId="0" applyAlignment="1" applyBorder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5" fillId="0" fontId="3" numFmtId="164" xfId="0" applyBorder="1" applyFont="1" applyNumberFormat="1"/>
    <xf borderId="0" fillId="10" fontId="2" numFmtId="0" xfId="0" applyFont="1"/>
    <xf borderId="5" fillId="10" fontId="2" numFmtId="164" xfId="0" applyBorder="1" applyFont="1" applyNumberFormat="1"/>
    <xf borderId="0" fillId="0" fontId="19" numFmtId="164" xfId="0" applyAlignment="1" applyFont="1" applyNumberFormat="1">
      <alignment readingOrder="0" vertical="bottom"/>
    </xf>
    <xf borderId="10" fillId="0" fontId="5" numFmtId="164" xfId="0" applyBorder="1" applyFont="1" applyNumberFormat="1"/>
    <xf borderId="5" fillId="0" fontId="3" numFmtId="164" xfId="0" applyAlignment="1" applyBorder="1" applyFont="1" applyNumberFormat="1">
      <alignment readingOrder="0"/>
    </xf>
    <xf borderId="10" fillId="9" fontId="7" numFmtId="164" xfId="0" applyBorder="1" applyFont="1" applyNumberFormat="1"/>
    <xf borderId="5" fillId="9" fontId="7" numFmtId="164" xfId="0" applyBorder="1" applyFont="1" applyNumberFormat="1"/>
    <xf borderId="5" fillId="9" fontId="2" numFmtId="164" xfId="0" applyBorder="1" applyFont="1" applyNumberFormat="1"/>
    <xf borderId="0" fillId="9" fontId="2" numFmtId="0" xfId="0" applyFont="1"/>
    <xf borderId="5" fillId="9" fontId="20" numFmtId="164" xfId="0" applyBorder="1" applyFont="1" applyNumberFormat="1"/>
    <xf borderId="5" fillId="9" fontId="21" numFmtId="164" xfId="0" applyBorder="1" applyFont="1" applyNumberFormat="1"/>
    <xf borderId="0" fillId="9" fontId="21" numFmtId="0" xfId="0" applyFont="1"/>
    <xf borderId="5" fillId="0" fontId="2" numFmtId="164" xfId="0" applyAlignment="1" applyBorder="1" applyFont="1" applyNumberFormat="1">
      <alignment readingOrder="0"/>
    </xf>
    <xf borderId="10" fillId="9" fontId="7" numFmtId="164" xfId="0" applyAlignment="1" applyBorder="1" applyFont="1" applyNumberFormat="1">
      <alignment horizontal="right" vertical="bottom"/>
    </xf>
    <xf borderId="10" fillId="0" fontId="7" numFmtId="164" xfId="0" applyAlignment="1" applyBorder="1" applyFont="1" applyNumberFormat="1">
      <alignment readingOrder="0" vertical="bottom"/>
    </xf>
    <xf borderId="5" fillId="0" fontId="7" numFmtId="164" xfId="0" applyAlignment="1" applyBorder="1" applyFont="1" applyNumberFormat="1">
      <alignment readingOrder="0" vertical="bottom"/>
    </xf>
    <xf borderId="0" fillId="0" fontId="2" numFmtId="0" xfId="0" applyAlignment="1" applyFont="1">
      <alignment shrinkToFit="0" wrapText="0"/>
    </xf>
    <xf borderId="5" fillId="0" fontId="3" numFmtId="164" xfId="0" applyAlignment="1" applyBorder="1" applyFont="1" applyNumberFormat="1">
      <alignment readingOrder="0" shrinkToFit="0" wrapText="0"/>
    </xf>
    <xf borderId="5" fillId="0" fontId="7" numFmtId="164" xfId="0" applyAlignment="1" applyBorder="1" applyFont="1" applyNumberFormat="1">
      <alignment horizontal="right" shrinkToFit="0" vertical="bottom" wrapText="0"/>
    </xf>
    <xf borderId="5" fillId="0" fontId="2" numFmtId="164" xfId="0" applyAlignment="1" applyBorder="1" applyFont="1" applyNumberFormat="1">
      <alignment shrinkToFit="0" wrapText="0"/>
    </xf>
    <xf borderId="5" fillId="0" fontId="7" numFmtId="164" xfId="0" applyAlignment="1" applyBorder="1" applyFont="1" applyNumberFormat="1">
      <alignment readingOrder="0" shrinkToFit="0" vertical="bottom" wrapText="0"/>
    </xf>
    <xf borderId="5" fillId="0" fontId="2" numFmtId="164" xfId="0" applyAlignment="1" applyBorder="1" applyFont="1" applyNumberFormat="1">
      <alignment shrinkToFit="0" vertical="bottom" wrapText="0"/>
    </xf>
    <xf borderId="0" fillId="0" fontId="22" numFmtId="0" xfId="0" applyAlignment="1" applyFont="1">
      <alignment readingOrder="0"/>
    </xf>
    <xf borderId="5" fillId="0" fontId="23" numFmtId="164" xfId="0" applyAlignment="1" applyBorder="1" applyFont="1" applyNumberFormat="1">
      <alignment readingOrder="0"/>
    </xf>
    <xf borderId="5" fillId="0" fontId="7" numFmtId="164" xfId="0" applyAlignment="1" applyBorder="1" applyFont="1" applyNumberFormat="1">
      <alignment readingOrder="0"/>
    </xf>
    <xf borderId="5" fillId="0" fontId="6" numFmtId="164" xfId="0" applyBorder="1" applyFont="1" applyNumberFormat="1"/>
  </cellXfs>
  <cellStyles count="1">
    <cellStyle xfId="0" name="Normal" builtinId="0"/>
  </cellStyles>
  <dxfs count="2">
    <dxf>
      <font>
        <color theme="0"/>
      </font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ur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ri.ba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4.11"/>
    <col customWidth="1" min="2" max="2" width="3.67"/>
    <col customWidth="1" min="3" max="18" width="14.89"/>
    <col customWidth="1" min="19" max="19" width="8.33"/>
    <col customWidth="1" min="20" max="20" width="14.44"/>
    <col customWidth="1" min="21" max="21" width="8.33"/>
    <col customWidth="1" min="22" max="22" width="15.0"/>
    <col customWidth="1" min="23" max="25" width="8.33"/>
  </cols>
  <sheetData>
    <row r="1">
      <c r="A1" s="1" t="s">
        <v>0</v>
      </c>
      <c r="B1" s="2"/>
      <c r="C1" s="3">
        <v>2025.0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3">
        <v>2026.0</v>
      </c>
      <c r="P1" s="4"/>
      <c r="Q1" s="4"/>
      <c r="R1" s="5"/>
      <c r="S1" s="2"/>
      <c r="T1" s="2"/>
      <c r="U1" s="2"/>
      <c r="V1" s="2"/>
      <c r="W1" s="2"/>
      <c r="X1" s="2"/>
      <c r="Y1" s="2"/>
    </row>
    <row r="2">
      <c r="B2" s="2"/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6" t="s">
        <v>1</v>
      </c>
      <c r="P2" s="7" t="s">
        <v>2</v>
      </c>
      <c r="Q2" s="7" t="s">
        <v>3</v>
      </c>
      <c r="R2" s="7" t="s">
        <v>4</v>
      </c>
      <c r="S2" s="2"/>
      <c r="T2" s="2"/>
      <c r="U2" s="2"/>
      <c r="V2" s="2"/>
      <c r="W2" s="2"/>
      <c r="X2" s="2"/>
      <c r="Y2" s="2"/>
    </row>
    <row r="3">
      <c r="A3" s="8" t="s">
        <v>13</v>
      </c>
      <c r="B3" s="9"/>
      <c r="C3" s="10"/>
      <c r="D3" s="10"/>
      <c r="E3" s="10"/>
      <c r="F3" s="10"/>
      <c r="G3" s="10"/>
      <c r="H3" s="10"/>
      <c r="I3" s="10"/>
      <c r="J3" s="10"/>
      <c r="K3" s="11">
        <f>K36</f>
        <v>1210700.72</v>
      </c>
      <c r="L3" s="11">
        <f t="shared" ref="L3:R3" si="1">K48</f>
        <v>1405286.273</v>
      </c>
      <c r="M3" s="11">
        <f t="shared" si="1"/>
        <v>1330621.361</v>
      </c>
      <c r="N3" s="11">
        <f t="shared" si="1"/>
        <v>1008715.647</v>
      </c>
      <c r="O3" s="11">
        <f t="shared" si="1"/>
        <v>786654.082</v>
      </c>
      <c r="P3" s="11">
        <f t="shared" si="1"/>
        <v>653447.2078</v>
      </c>
      <c r="Q3" s="11">
        <f t="shared" si="1"/>
        <v>631943.0044</v>
      </c>
      <c r="R3" s="11">
        <f t="shared" si="1"/>
        <v>618743.0744</v>
      </c>
      <c r="S3" s="9"/>
      <c r="T3" s="12"/>
      <c r="U3" s="9"/>
      <c r="V3" s="9"/>
      <c r="W3" s="9"/>
      <c r="X3" s="9"/>
      <c r="Y3" s="9"/>
    </row>
    <row r="4">
      <c r="A4" s="13"/>
      <c r="B4" s="9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9"/>
      <c r="T4" s="12" t="s">
        <v>14</v>
      </c>
      <c r="U4" s="9"/>
      <c r="V4" s="9"/>
      <c r="W4" s="9"/>
      <c r="X4" s="9"/>
      <c r="Y4" s="9"/>
    </row>
    <row r="5">
      <c r="A5" s="9" t="s">
        <v>15</v>
      </c>
      <c r="B5" s="9"/>
      <c r="C5" s="14"/>
      <c r="D5" s="14"/>
      <c r="E5" s="14"/>
      <c r="F5" s="10"/>
      <c r="G5" s="10"/>
      <c r="H5" s="11"/>
      <c r="I5" s="10"/>
      <c r="J5" s="10"/>
      <c r="K5" s="10">
        <v>580993.58</v>
      </c>
      <c r="L5" s="10">
        <v>314259.64</v>
      </c>
      <c r="M5" s="14"/>
      <c r="N5" s="14"/>
      <c r="O5" s="15"/>
      <c r="P5" s="15"/>
      <c r="Q5" s="15"/>
      <c r="R5" s="15"/>
      <c r="S5" s="9"/>
      <c r="T5" s="15">
        <f t="shared" ref="T5:T29" si="2">SUM(C5:S5)</f>
        <v>895253.22</v>
      </c>
      <c r="U5" s="9"/>
      <c r="V5" s="9"/>
      <c r="W5" s="9"/>
      <c r="X5" s="9"/>
      <c r="Y5" s="9"/>
    </row>
    <row r="6">
      <c r="A6" s="9" t="s">
        <v>16</v>
      </c>
      <c r="B6" s="9"/>
      <c r="C6" s="14"/>
      <c r="D6" s="14"/>
      <c r="E6" s="14"/>
      <c r="F6" s="15"/>
      <c r="G6" s="15"/>
      <c r="H6" s="15"/>
      <c r="I6" s="15"/>
      <c r="J6" s="10"/>
      <c r="K6" s="10">
        <f>135403.58*0.3333</f>
        <v>45130.01321</v>
      </c>
      <c r="L6" s="14">
        <f>52954.18*0.3333</f>
        <v>17649.62819</v>
      </c>
      <c r="M6" s="14"/>
      <c r="N6" s="14"/>
      <c r="O6" s="14"/>
      <c r="P6" s="15"/>
      <c r="Q6" s="15"/>
      <c r="R6" s="15"/>
      <c r="S6" s="9"/>
      <c r="T6" s="15">
        <f t="shared" si="2"/>
        <v>62779.64141</v>
      </c>
      <c r="U6" s="9"/>
      <c r="V6" s="9"/>
      <c r="W6" s="9"/>
      <c r="X6" s="9"/>
      <c r="Y6" s="9"/>
    </row>
    <row r="7">
      <c r="A7" s="9" t="s">
        <v>17</v>
      </c>
      <c r="B7" s="9"/>
      <c r="C7" s="14"/>
      <c r="D7" s="14"/>
      <c r="E7" s="10"/>
      <c r="F7" s="10"/>
      <c r="G7" s="10"/>
      <c r="H7" s="10"/>
      <c r="I7" s="10"/>
      <c r="J7" s="10"/>
      <c r="K7" s="10">
        <v>24116.47</v>
      </c>
      <c r="L7" s="10">
        <v>15062.02</v>
      </c>
      <c r="M7" s="15"/>
      <c r="N7" s="15"/>
      <c r="O7" s="15"/>
      <c r="P7" s="15"/>
      <c r="Q7" s="15"/>
      <c r="R7" s="15"/>
      <c r="S7" s="9"/>
      <c r="T7" s="15">
        <f t="shared" si="2"/>
        <v>39178.49</v>
      </c>
      <c r="U7" s="9"/>
      <c r="V7" s="9"/>
      <c r="W7" s="9"/>
      <c r="X7" s="9"/>
      <c r="Y7" s="9"/>
    </row>
    <row r="8">
      <c r="A8" s="16" t="s">
        <v>18</v>
      </c>
      <c r="B8" s="9"/>
      <c r="C8" s="14"/>
      <c r="D8" s="17">
        <v>0.0</v>
      </c>
      <c r="E8" s="17">
        <v>0.0</v>
      </c>
      <c r="F8" s="17"/>
      <c r="G8" s="17"/>
      <c r="H8" s="17"/>
      <c r="I8" s="17"/>
      <c r="J8" s="17"/>
      <c r="K8" s="17">
        <v>25620.0</v>
      </c>
      <c r="L8" s="17">
        <v>25620.0</v>
      </c>
      <c r="M8" s="17">
        <v>25620.0</v>
      </c>
      <c r="N8" s="17">
        <v>25620.0</v>
      </c>
      <c r="O8" s="17">
        <v>25620.0</v>
      </c>
      <c r="P8" s="17">
        <v>25620.0</v>
      </c>
      <c r="Q8" s="17">
        <v>25620.0</v>
      </c>
      <c r="R8" s="17">
        <v>25620.0</v>
      </c>
      <c r="S8" s="9"/>
      <c r="T8" s="17">
        <f t="shared" si="2"/>
        <v>204960</v>
      </c>
      <c r="U8" s="9"/>
      <c r="V8" s="9"/>
      <c r="W8" s="9"/>
      <c r="X8" s="9"/>
      <c r="Y8" s="9"/>
    </row>
    <row r="9">
      <c r="A9" s="18" t="s">
        <v>19</v>
      </c>
      <c r="B9" s="9"/>
      <c r="C9" s="14"/>
      <c r="D9" s="14"/>
      <c r="E9" s="14"/>
      <c r="F9" s="14">
        <v>0.0</v>
      </c>
      <c r="G9" s="14"/>
      <c r="H9" s="14"/>
      <c r="I9" s="14"/>
      <c r="J9" s="14"/>
      <c r="K9" s="10">
        <v>25000.0</v>
      </c>
      <c r="L9" s="10">
        <v>25000.0</v>
      </c>
      <c r="M9" s="10">
        <v>10000.0</v>
      </c>
      <c r="N9" s="14"/>
      <c r="O9" s="14"/>
      <c r="P9" s="14"/>
      <c r="Q9" s="14"/>
      <c r="R9" s="14"/>
      <c r="S9" s="9"/>
      <c r="T9" s="17">
        <f t="shared" si="2"/>
        <v>60000</v>
      </c>
      <c r="U9" s="9"/>
      <c r="V9" s="9"/>
      <c r="W9" s="9"/>
      <c r="X9" s="9"/>
      <c r="Y9" s="9"/>
    </row>
    <row r="10">
      <c r="A10" s="16" t="s">
        <v>20</v>
      </c>
      <c r="B10" s="9"/>
      <c r="C10" s="14"/>
      <c r="D10" s="14"/>
      <c r="E10" s="14"/>
      <c r="F10" s="14">
        <v>0.0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9"/>
      <c r="T10" s="17">
        <f t="shared" si="2"/>
        <v>0</v>
      </c>
      <c r="U10" s="9"/>
      <c r="V10" s="9"/>
      <c r="W10" s="9"/>
      <c r="X10" s="9"/>
      <c r="Y10" s="9"/>
    </row>
    <row r="11">
      <c r="A11" s="19" t="s">
        <v>21</v>
      </c>
      <c r="B11" s="19"/>
      <c r="C11" s="19">
        <f>SUM(C5:C8)</f>
        <v>0</v>
      </c>
      <c r="D11" s="19">
        <f t="shared" ref="D11:P11" si="3">SUM(D5:D10)</f>
        <v>0</v>
      </c>
      <c r="E11" s="19">
        <f t="shared" si="3"/>
        <v>0</v>
      </c>
      <c r="F11" s="19">
        <f t="shared" si="3"/>
        <v>0</v>
      </c>
      <c r="G11" s="19">
        <f t="shared" si="3"/>
        <v>0</v>
      </c>
      <c r="H11" s="19">
        <f t="shared" si="3"/>
        <v>0</v>
      </c>
      <c r="I11" s="19">
        <f t="shared" si="3"/>
        <v>0</v>
      </c>
      <c r="J11" s="19">
        <f t="shared" si="3"/>
        <v>0</v>
      </c>
      <c r="K11" s="19">
        <f t="shared" si="3"/>
        <v>700860.0632</v>
      </c>
      <c r="L11" s="19">
        <f t="shared" si="3"/>
        <v>397591.2882</v>
      </c>
      <c r="M11" s="19">
        <f t="shared" si="3"/>
        <v>35620</v>
      </c>
      <c r="N11" s="19">
        <f t="shared" si="3"/>
        <v>25620</v>
      </c>
      <c r="O11" s="19">
        <f t="shared" si="3"/>
        <v>25620</v>
      </c>
      <c r="P11" s="19">
        <f t="shared" si="3"/>
        <v>25620</v>
      </c>
      <c r="Q11" s="19">
        <f t="shared" ref="Q11:R11" si="4">SUM(Q5:Q8)</f>
        <v>25620</v>
      </c>
      <c r="R11" s="19">
        <f t="shared" si="4"/>
        <v>25620</v>
      </c>
      <c r="S11" s="20"/>
      <c r="T11" s="19">
        <f t="shared" si="2"/>
        <v>1262171.351</v>
      </c>
      <c r="U11" s="20"/>
      <c r="V11" s="20"/>
      <c r="W11" s="20"/>
      <c r="X11" s="20"/>
      <c r="Y11" s="20"/>
    </row>
    <row r="12">
      <c r="A12" s="9"/>
      <c r="B12" s="9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9"/>
      <c r="T12" s="11">
        <f t="shared" si="2"/>
        <v>0</v>
      </c>
      <c r="U12" s="9"/>
      <c r="V12" s="9"/>
      <c r="W12" s="9"/>
      <c r="X12" s="9"/>
      <c r="Y12" s="9"/>
    </row>
    <row r="13">
      <c r="A13" s="21" t="s">
        <v>22</v>
      </c>
      <c r="B13" s="9"/>
      <c r="C13" s="15"/>
      <c r="D13" s="15"/>
      <c r="E13" s="15"/>
      <c r="F13" s="15"/>
      <c r="G13" s="15">
        <f>'===='!D3</f>
        <v>0</v>
      </c>
      <c r="H13" s="15">
        <f>'===='!E3</f>
        <v>0</v>
      </c>
      <c r="I13" s="15">
        <f>'===='!F3</f>
        <v>0</v>
      </c>
      <c r="J13" s="15">
        <f>'===='!G3</f>
        <v>0</v>
      </c>
      <c r="K13" s="15">
        <f>'===='!H3</f>
        <v>0</v>
      </c>
      <c r="L13" s="15">
        <f>'===='!I3</f>
        <v>0</v>
      </c>
      <c r="M13" s="15">
        <f>'===='!J3</f>
        <v>0</v>
      </c>
      <c r="N13" s="15">
        <f>'===='!K3</f>
        <v>0</v>
      </c>
      <c r="O13" s="15">
        <f>'===='!L3</f>
        <v>0</v>
      </c>
      <c r="P13" s="15">
        <f>'===='!M3</f>
        <v>0</v>
      </c>
      <c r="Q13" s="15">
        <f>'===='!N3</f>
        <v>0</v>
      </c>
      <c r="R13" s="15">
        <f>'===='!O3</f>
        <v>0</v>
      </c>
      <c r="S13" s="9"/>
      <c r="T13" s="15">
        <f t="shared" si="2"/>
        <v>0</v>
      </c>
      <c r="U13" s="9"/>
      <c r="V13" s="9"/>
      <c r="W13" s="9"/>
      <c r="X13" s="9"/>
      <c r="Y13" s="9"/>
    </row>
    <row r="14" ht="15.75" customHeight="1">
      <c r="A14" s="22" t="s">
        <v>23</v>
      </c>
      <c r="B14" s="9"/>
      <c r="C14" s="15">
        <f>'Salari e Stipendi'!D3</f>
        <v>0</v>
      </c>
      <c r="D14" s="15">
        <f>'Salari e Stipendi'!E3</f>
        <v>0</v>
      </c>
      <c r="E14" s="15">
        <f>'Salari e Stipendi'!F3</f>
        <v>0</v>
      </c>
      <c r="F14" s="15">
        <f>'Salari e Stipendi'!G3</f>
        <v>0</v>
      </c>
      <c r="G14" s="15">
        <f>'Salari e Stipendi'!H3</f>
        <v>0</v>
      </c>
      <c r="H14" s="15">
        <f>'Salari e Stipendi'!I3</f>
        <v>0</v>
      </c>
      <c r="I14" s="15">
        <f>'Salari e Stipendi'!J3</f>
        <v>0</v>
      </c>
      <c r="J14" s="15">
        <f>'Salari e Stipendi'!K3</f>
        <v>0</v>
      </c>
      <c r="K14" s="15">
        <f>'Salari e Stipendi'!L3</f>
        <v>50000</v>
      </c>
      <c r="L14" s="15">
        <f>'Salari e Stipendi'!M3</f>
        <v>135000</v>
      </c>
      <c r="M14" s="15">
        <f>'Salari e Stipendi'!N3</f>
        <v>145000</v>
      </c>
      <c r="N14" s="15">
        <f>'Salari e Stipendi'!O3</f>
        <v>60000</v>
      </c>
      <c r="O14" s="15">
        <f>'Salari e Stipendi'!P3</f>
        <v>40000</v>
      </c>
      <c r="P14" s="15">
        <f>'Salari e Stipendi'!Q3</f>
        <v>0</v>
      </c>
      <c r="Q14" s="15">
        <f>'Salari e Stipendi'!R3</f>
        <v>0</v>
      </c>
      <c r="R14" s="15">
        <f>'Salari e Stipendi'!S3</f>
        <v>0</v>
      </c>
      <c r="S14" s="9"/>
      <c r="T14" s="15">
        <f t="shared" si="2"/>
        <v>430000</v>
      </c>
      <c r="U14" s="9"/>
      <c r="V14" s="9"/>
      <c r="W14" s="9"/>
      <c r="X14" s="9"/>
      <c r="Y14" s="9"/>
    </row>
    <row r="15" ht="15.75" customHeight="1">
      <c r="A15" s="22" t="s">
        <v>24</v>
      </c>
      <c r="B15" s="9"/>
      <c r="C15" s="15">
        <f>Utenze!D3</f>
        <v>0</v>
      </c>
      <c r="D15" s="15">
        <f>Utenze!E3</f>
        <v>0</v>
      </c>
      <c r="E15" s="15">
        <f>Utenze!F3</f>
        <v>0</v>
      </c>
      <c r="F15" s="15">
        <f>Utenze!G3</f>
        <v>0</v>
      </c>
      <c r="G15" s="15">
        <f>Utenze!H3</f>
        <v>0</v>
      </c>
      <c r="H15" s="15">
        <f>Utenze!I3</f>
        <v>0</v>
      </c>
      <c r="I15" s="15">
        <f>Utenze!J3</f>
        <v>0</v>
      </c>
      <c r="J15" s="15">
        <f>Utenze!K3</f>
        <v>0</v>
      </c>
      <c r="K15" s="15">
        <f>Utenze!L3</f>
        <v>44492.14</v>
      </c>
      <c r="L15" s="15">
        <f>Utenze!M3</f>
        <v>41900</v>
      </c>
      <c r="M15" s="15">
        <f>Utenze!N3</f>
        <v>33850</v>
      </c>
      <c r="N15" s="15">
        <f>Utenze!O3</f>
        <v>25800</v>
      </c>
      <c r="O15" s="15">
        <f>Utenze!P3</f>
        <v>11220</v>
      </c>
      <c r="P15" s="15">
        <f>Utenze!Q3</f>
        <v>6010</v>
      </c>
      <c r="Q15" s="15">
        <f>Utenze!R3</f>
        <v>3500</v>
      </c>
      <c r="R15" s="15">
        <f>Utenze!S3</f>
        <v>0</v>
      </c>
      <c r="S15" s="9"/>
      <c r="T15" s="15">
        <f t="shared" si="2"/>
        <v>166772.14</v>
      </c>
      <c r="U15" s="9"/>
      <c r="V15" s="9"/>
      <c r="W15" s="9"/>
      <c r="X15" s="9"/>
      <c r="Y15" s="9"/>
    </row>
    <row r="16" ht="15.75" customHeight="1">
      <c r="A16" s="22" t="s">
        <v>25</v>
      </c>
      <c r="B16" s="9"/>
      <c r="C16" s="15">
        <f>'Materie Prime-Consumo '!D3</f>
        <v>0</v>
      </c>
      <c r="D16" s="15">
        <f>'Materie Prime-Consumo '!E3</f>
        <v>0</v>
      </c>
      <c r="E16" s="15">
        <f>'Materie Prime-Consumo '!F3</f>
        <v>0</v>
      </c>
      <c r="F16" s="15">
        <f>'Materie Prime-Consumo '!G3</f>
        <v>0</v>
      </c>
      <c r="G16" s="15">
        <f>'Materie Prime-Consumo '!H3</f>
        <v>0</v>
      </c>
      <c r="H16" s="15">
        <f>'Materie Prime-Consumo '!I3</f>
        <v>0</v>
      </c>
      <c r="I16" s="15">
        <f>'Materie Prime-Consumo '!J3</f>
        <v>0</v>
      </c>
      <c r="J16" s="15">
        <f>'Materie Prime-Consumo '!K3</f>
        <v>0</v>
      </c>
      <c r="K16" s="15">
        <f>'Materie Prime-Consumo '!L3</f>
        <v>126060.74</v>
      </c>
      <c r="L16" s="15">
        <f>'Materie Prime-Consumo '!M3</f>
        <v>72944.7</v>
      </c>
      <c r="M16" s="15">
        <f>'Materie Prime-Consumo '!N3</f>
        <v>38198.76</v>
      </c>
      <c r="N16" s="15">
        <f>'Materie Prime-Consumo '!O3</f>
        <v>16279.7</v>
      </c>
      <c r="O16" s="15">
        <f>'Materie Prime-Consumo '!P3</f>
        <v>0</v>
      </c>
      <c r="P16" s="15">
        <f>'Materie Prime-Consumo '!Q3</f>
        <v>0</v>
      </c>
      <c r="Q16" s="15">
        <f>'Materie Prime-Consumo '!R3</f>
        <v>0</v>
      </c>
      <c r="R16" s="15">
        <f>'Materie Prime-Consumo '!S3</f>
        <v>0</v>
      </c>
      <c r="S16" s="9"/>
      <c r="T16" s="15">
        <f t="shared" si="2"/>
        <v>253483.9</v>
      </c>
      <c r="U16" s="9"/>
      <c r="V16" s="9"/>
      <c r="W16" s="9"/>
      <c r="X16" s="9"/>
      <c r="Y16" s="9"/>
    </row>
    <row r="17" ht="15.75" customHeight="1">
      <c r="A17" s="22" t="s">
        <v>26</v>
      </c>
      <c r="B17" s="9"/>
      <c r="C17" s="15" t="str">
        <f>'Materie Prime-Consumo '!D4</f>
        <v/>
      </c>
      <c r="D17" s="15">
        <f>'Tasse e Imposte'!E3</f>
        <v>0</v>
      </c>
      <c r="E17" s="15">
        <f>'Tasse e Imposte'!D3</f>
        <v>0</v>
      </c>
      <c r="F17" s="15">
        <f>'Tasse e Imposte'!E3</f>
        <v>0</v>
      </c>
      <c r="G17" s="15">
        <f>'Tasse e Imposte'!F3</f>
        <v>0</v>
      </c>
      <c r="H17" s="15">
        <f>'Tasse e Imposte'!G3</f>
        <v>0</v>
      </c>
      <c r="I17" s="15">
        <f>'Tasse e Imposte'!H3</f>
        <v>0</v>
      </c>
      <c r="J17" s="15">
        <f>'Tasse e Imposte'!I3</f>
        <v>0</v>
      </c>
      <c r="K17" s="15">
        <f>'Tasse e Imposte'!J3</f>
        <v>0</v>
      </c>
      <c r="L17" s="15">
        <f>'Tasse e Imposte'!K3</f>
        <v>0</v>
      </c>
      <c r="M17" s="15">
        <f>'Tasse e Imposte'!L3</f>
        <v>22367.0842</v>
      </c>
      <c r="N17" s="15">
        <f>'Tasse e Imposte'!M3</f>
        <v>20279.8552</v>
      </c>
      <c r="O17" s="15">
        <f>'Tasse e Imposte'!N3</f>
        <v>71933.9142</v>
      </c>
      <c r="P17" s="15">
        <f>'Tasse e Imposte'!O3</f>
        <v>5896.9934</v>
      </c>
      <c r="Q17" s="15">
        <f>'Tasse e Imposte'!P3</f>
        <v>146</v>
      </c>
      <c r="R17" s="15">
        <f>'Tasse e Imposte'!Q3</f>
        <v>10000</v>
      </c>
      <c r="S17" s="9"/>
      <c r="T17" s="15">
        <f t="shared" si="2"/>
        <v>130623.847</v>
      </c>
      <c r="U17" s="9"/>
      <c r="V17" s="9"/>
      <c r="W17" s="9"/>
      <c r="X17" s="9"/>
      <c r="Y17" s="9"/>
    </row>
    <row r="18" ht="15.75" customHeight="1">
      <c r="A18" s="22" t="s">
        <v>27</v>
      </c>
      <c r="B18" s="9"/>
      <c r="C18" s="15" t="str">
        <f>'Materie Prime-Consumo '!D8</f>
        <v/>
      </c>
      <c r="D18" s="15">
        <f>'Commisisoni Portali'!E3</f>
        <v>0</v>
      </c>
      <c r="E18" s="15" t="str">
        <f>'Salari e Stipendi'!F7</f>
        <v/>
      </c>
      <c r="F18" s="15">
        <f>'Commisisoni Portali'!G3</f>
        <v>0</v>
      </c>
      <c r="G18" s="15">
        <f>'Commisisoni Portali'!H3</f>
        <v>0</v>
      </c>
      <c r="H18" s="15">
        <f>'Commisisoni Portali'!I3</f>
        <v>0</v>
      </c>
      <c r="I18" s="15">
        <f>'Commisisoni Portali'!J3</f>
        <v>0</v>
      </c>
      <c r="J18" s="15">
        <f>'Commisisoni Portali'!K3</f>
        <v>0</v>
      </c>
      <c r="K18" s="15">
        <f>'Commisisoni Portali'!L3</f>
        <v>49419.62</v>
      </c>
      <c r="L18" s="15">
        <f>'Commisisoni Portali'!M3</f>
        <v>42229.5</v>
      </c>
      <c r="M18" s="15">
        <f>'Commisisoni Portali'!N3</f>
        <v>20573.9</v>
      </c>
      <c r="N18" s="15">
        <f>'Commisisoni Portali'!O3</f>
        <v>784.66</v>
      </c>
      <c r="O18" s="15">
        <f>'Commisisoni Portali'!P3</f>
        <v>0</v>
      </c>
      <c r="P18" s="15">
        <f>'Commisisoni Portali'!Q3</f>
        <v>0</v>
      </c>
      <c r="Q18" s="15">
        <f>'Commisisoni Portali'!R3</f>
        <v>0</v>
      </c>
      <c r="R18" s="15">
        <f>'Commisisoni Portali'!S3</f>
        <v>0</v>
      </c>
      <c r="S18" s="9"/>
      <c r="T18" s="15">
        <f t="shared" si="2"/>
        <v>113007.68</v>
      </c>
      <c r="U18" s="9"/>
      <c r="V18" s="9"/>
      <c r="W18" s="9"/>
      <c r="X18" s="9"/>
      <c r="Y18" s="9"/>
    </row>
    <row r="19" ht="15.75" customHeight="1">
      <c r="A19" s="22" t="s">
        <v>28</v>
      </c>
      <c r="B19" s="9"/>
      <c r="C19" s="15" t="str">
        <f>'Materie Prime-Consumo '!D9</f>
        <v/>
      </c>
      <c r="D19" s="15"/>
      <c r="E19" s="15"/>
      <c r="F19" s="15">
        <f>'Mutui e Finaziamenti'!G3</f>
        <v>0</v>
      </c>
      <c r="G19" s="15">
        <f>'Mutui e Finaziamenti'!H3</f>
        <v>0</v>
      </c>
      <c r="H19" s="15">
        <f>'Mutui e Finaziamenti'!I3</f>
        <v>0</v>
      </c>
      <c r="I19" s="15">
        <f>'Mutui e Finaziamenti'!J3</f>
        <v>0</v>
      </c>
      <c r="J19" s="15">
        <f>'Mutui e Finaziamenti'!K3</f>
        <v>0</v>
      </c>
      <c r="K19" s="15">
        <f>'Mutui e Finaziamenti'!L3</f>
        <v>13621.33</v>
      </c>
      <c r="L19" s="15">
        <f>'Mutui e Finaziamenti'!M3</f>
        <v>13665.58</v>
      </c>
      <c r="M19" s="15">
        <f>'Mutui e Finaziamenti'!N3</f>
        <v>13622.3</v>
      </c>
      <c r="N19" s="15">
        <f>'Mutui e Finaziamenti'!O3</f>
        <v>86464.2</v>
      </c>
      <c r="O19" s="15">
        <f>'Mutui e Finaziamenti'!L3</f>
        <v>13621.33</v>
      </c>
      <c r="P19" s="15">
        <f>'Mutui e Finaziamenti'!M3</f>
        <v>13665.58</v>
      </c>
      <c r="Q19" s="15">
        <f>'Mutui e Finaziamenti'!N3</f>
        <v>13622.3</v>
      </c>
      <c r="R19" s="15">
        <f>'Mutui e Finaziamenti'!O3</f>
        <v>86464.2</v>
      </c>
      <c r="S19" s="9"/>
      <c r="T19" s="15">
        <f t="shared" si="2"/>
        <v>254746.82</v>
      </c>
      <c r="U19" s="9"/>
      <c r="V19" s="9"/>
      <c r="W19" s="9"/>
      <c r="X19" s="9"/>
      <c r="Y19" s="9"/>
    </row>
    <row r="20" ht="15.75" customHeight="1">
      <c r="A20" s="22" t="s">
        <v>29</v>
      </c>
      <c r="B20" s="9"/>
      <c r="C20" s="15">
        <f>Consulenze!D3</f>
        <v>0</v>
      </c>
      <c r="D20" s="15">
        <f>Consulenze!E3</f>
        <v>0</v>
      </c>
      <c r="E20" s="15">
        <f>Consulenze!F3</f>
        <v>0</v>
      </c>
      <c r="F20" s="15">
        <f>Consulenze!G3</f>
        <v>0</v>
      </c>
      <c r="G20" s="15">
        <f>Consulenze!H3</f>
        <v>0</v>
      </c>
      <c r="H20" s="15">
        <f>Consulenze!I3</f>
        <v>0</v>
      </c>
      <c r="I20" s="15">
        <f>Consulenze!J3</f>
        <v>0</v>
      </c>
      <c r="J20" s="15">
        <f>Consulenze!K3</f>
        <v>0</v>
      </c>
      <c r="K20" s="15">
        <f>Consulenze!L3</f>
        <v>6368.96</v>
      </c>
      <c r="L20" s="15">
        <f>Consulenze!M3</f>
        <v>7528.47</v>
      </c>
      <c r="M20" s="15">
        <f>Consulenze!N3</f>
        <v>5000</v>
      </c>
      <c r="N20" s="15">
        <f>Consulenze!O3</f>
        <v>5000</v>
      </c>
      <c r="O20" s="15">
        <f>Consulenze!P3</f>
        <v>0</v>
      </c>
      <c r="P20" s="15">
        <f>Consulenze!Q3</f>
        <v>0</v>
      </c>
      <c r="Q20" s="15">
        <f>Consulenze!R3</f>
        <v>0</v>
      </c>
      <c r="R20" s="15">
        <f>Consulenze!S3</f>
        <v>0</v>
      </c>
      <c r="S20" s="9"/>
      <c r="T20" s="15">
        <f t="shared" si="2"/>
        <v>23897.43</v>
      </c>
      <c r="U20" s="9"/>
      <c r="V20" s="9"/>
      <c r="W20" s="9"/>
      <c r="X20" s="9"/>
      <c r="Y20" s="9"/>
    </row>
    <row r="21" ht="15.0" customHeight="1">
      <c r="A21" s="23" t="s">
        <v>30</v>
      </c>
      <c r="B21" s="9"/>
      <c r="C21" s="15">
        <f>'Godimento Beni di Terzi'!D3</f>
        <v>0</v>
      </c>
      <c r="D21" s="15">
        <f>'Godimento Beni di Terzi'!E3</f>
        <v>0</v>
      </c>
      <c r="E21" s="15">
        <f>'Godimento Beni di Terzi'!F3</f>
        <v>0</v>
      </c>
      <c r="F21" s="15">
        <f>'Godimento Beni di Terzi'!G3</f>
        <v>0</v>
      </c>
      <c r="G21" s="15">
        <f>'Godimento Beni di Terzi'!H3</f>
        <v>0</v>
      </c>
      <c r="H21" s="15">
        <f>'Godimento Beni di Terzi'!I3</f>
        <v>0</v>
      </c>
      <c r="I21" s="15">
        <f>'Godimento Beni di Terzi'!J3</f>
        <v>0</v>
      </c>
      <c r="J21" s="15">
        <f>'Godimento Beni di Terzi'!K3</f>
        <v>0</v>
      </c>
      <c r="K21" s="15">
        <f>'Godimento Beni di Terzi'!L3</f>
        <v>166000</v>
      </c>
      <c r="L21" s="15">
        <f>'Godimento Beni di Terzi'!M3</f>
        <v>120000</v>
      </c>
      <c r="M21" s="15">
        <f>'Godimento Beni di Terzi'!N3</f>
        <v>50000</v>
      </c>
      <c r="N21" s="15">
        <f>'Godimento Beni di Terzi'!O3</f>
        <v>0</v>
      </c>
      <c r="O21" s="15">
        <f>'Godimento Beni di Terzi'!P3</f>
        <v>0</v>
      </c>
      <c r="P21" s="15">
        <f>'Godimento Beni di Terzi'!Q3</f>
        <v>0</v>
      </c>
      <c r="Q21" s="15">
        <f>'Godimento Beni di Terzi'!R3</f>
        <v>0</v>
      </c>
      <c r="R21" s="15">
        <f>'Godimento Beni di Terzi'!S3</f>
        <v>0</v>
      </c>
      <c r="S21" s="9"/>
      <c r="T21" s="15">
        <f t="shared" si="2"/>
        <v>336000</v>
      </c>
      <c r="U21" s="9"/>
      <c r="V21" s="9"/>
      <c r="W21" s="9"/>
      <c r="X21" s="9"/>
      <c r="Y21" s="9"/>
    </row>
    <row r="22" ht="15.75" customHeight="1">
      <c r="A22" s="22" t="s">
        <v>31</v>
      </c>
      <c r="B22" s="9"/>
      <c r="C22" s="10">
        <v>0.0</v>
      </c>
      <c r="D22" s="15"/>
      <c r="E22" s="15"/>
      <c r="F22" s="15">
        <f>' Varie ed Eventuali'!G3</f>
        <v>0</v>
      </c>
      <c r="G22" s="15">
        <f>' Varie ed Eventuali'!H3</f>
        <v>0</v>
      </c>
      <c r="H22" s="15">
        <f>' Varie ed Eventuali'!I3</f>
        <v>0</v>
      </c>
      <c r="I22" s="15">
        <f>' Varie ed Eventuali'!J3</f>
        <v>0</v>
      </c>
      <c r="J22" s="15">
        <f>' Varie ed Eventuali'!K3</f>
        <v>0</v>
      </c>
      <c r="K22" s="15">
        <f>' Varie ed Eventuali'!L3</f>
        <v>20000</v>
      </c>
      <c r="L22" s="15">
        <f>' Varie ed Eventuali'!M3</f>
        <v>20000</v>
      </c>
      <c r="M22" s="15">
        <f>' Varie ed Eventuali'!N3</f>
        <v>20000</v>
      </c>
      <c r="N22" s="15">
        <f>' Varie ed Eventuali'!O3</f>
        <v>20000</v>
      </c>
      <c r="O22" s="15">
        <f>' Varie ed Eventuali'!P3</f>
        <v>20000</v>
      </c>
      <c r="P22" s="15">
        <f>' Varie ed Eventuali'!Q3</f>
        <v>20000</v>
      </c>
      <c r="Q22" s="15">
        <f>' Varie ed Eventuali'!R3</f>
        <v>20000</v>
      </c>
      <c r="R22" s="15">
        <f>' Varie ed Eventuali'!S3</f>
        <v>20000</v>
      </c>
      <c r="S22" s="9"/>
      <c r="T22" s="15">
        <f t="shared" si="2"/>
        <v>160000</v>
      </c>
      <c r="U22" s="9"/>
      <c r="V22" s="9"/>
      <c r="W22" s="9"/>
      <c r="X22" s="9"/>
      <c r="Y22" s="9"/>
    </row>
    <row r="23" ht="15.75" customHeight="1">
      <c r="A23" s="22" t="s">
        <v>32</v>
      </c>
      <c r="B23" s="9"/>
      <c r="C23" s="15"/>
      <c r="D23" s="15">
        <f>'Canoni e servizi'!E3</f>
        <v>0</v>
      </c>
      <c r="E23" s="15">
        <f>'Canoni e servizi'!F3</f>
        <v>0</v>
      </c>
      <c r="F23" s="15">
        <f>'Canoni e servizi'!G3</f>
        <v>0</v>
      </c>
      <c r="G23" s="15">
        <f>'Canoni e servizi'!H3</f>
        <v>0</v>
      </c>
      <c r="H23" s="15">
        <f>'Canoni e servizi'!I3</f>
        <v>0</v>
      </c>
      <c r="I23" s="15">
        <f>'Canoni e servizi'!J3</f>
        <v>0</v>
      </c>
      <c r="J23" s="15">
        <f>'Canoni e servizi'!K3</f>
        <v>0</v>
      </c>
      <c r="K23" s="15">
        <f>'Canoni e servizi'!L3</f>
        <v>30311.72</v>
      </c>
      <c r="L23" s="15">
        <f>'Canoni e servizi'!M3</f>
        <v>18987.95</v>
      </c>
      <c r="M23" s="15">
        <f>'Canoni e servizi'!N3</f>
        <v>8913.67</v>
      </c>
      <c r="N23" s="15">
        <f>'Canoni e servizi'!O3</f>
        <v>13073.15</v>
      </c>
      <c r="O23" s="15">
        <f>'Canoni e servizi'!P3</f>
        <v>2051.63</v>
      </c>
      <c r="P23" s="15">
        <f>'Canoni e servizi'!Q3</f>
        <v>1551.63</v>
      </c>
      <c r="Q23" s="15">
        <f>'Canoni e servizi'!R3</f>
        <v>1551.63</v>
      </c>
      <c r="R23" s="15">
        <f>'Canoni e servizi'!S3</f>
        <v>1551.63</v>
      </c>
      <c r="S23" s="9"/>
      <c r="T23" s="15">
        <f t="shared" si="2"/>
        <v>77993.01</v>
      </c>
      <c r="U23" s="9"/>
      <c r="V23" s="9"/>
      <c r="W23" s="9"/>
      <c r="X23" s="9"/>
      <c r="Y23" s="9"/>
    </row>
    <row r="24" ht="15.75" customHeight="1">
      <c r="A24" s="22" t="s">
        <v>33</v>
      </c>
      <c r="B24" s="9"/>
      <c r="C24" s="15">
        <f>'Ristr. Apt SDP Jr'!E3</f>
        <v>0</v>
      </c>
      <c r="D24" s="15" t="str">
        <f>'Ristr. Apt SDP Jr'!F4</f>
        <v/>
      </c>
      <c r="E24" s="15" t="str">
        <f>'Ristr. Apt SDP Jr'!F4</f>
        <v/>
      </c>
      <c r="F24" s="15" t="str">
        <f>'Ristr. Apt SDP Jr'!G4</f>
        <v/>
      </c>
      <c r="G24" s="15" t="str">
        <f>'Ristr. Apt SDP Jr'!H4</f>
        <v/>
      </c>
      <c r="H24" s="15" t="str">
        <f>'Ristr. Apt SDP Jr'!I4</f>
        <v/>
      </c>
      <c r="I24" s="15" t="str">
        <f>'Ristr. Apt SDP Jr'!J4</f>
        <v/>
      </c>
      <c r="J24" s="15" t="str">
        <f>'Ristr. Apt SDP Jr'!K4</f>
        <v/>
      </c>
      <c r="K24" s="15" t="str">
        <f>'Ristr. Apt SDP Jr'!L4</f>
        <v/>
      </c>
      <c r="L24" s="15" t="str">
        <f>'Ristr. Apt SDP Jr'!M4</f>
        <v/>
      </c>
      <c r="M24" s="15" t="str">
        <f>'Ristr. Apt SDP Jr'!N4</f>
        <v/>
      </c>
      <c r="N24" s="15" t="str">
        <f>'Ristr. Apt SDP Jr'!O4</f>
        <v/>
      </c>
      <c r="O24" s="15" t="str">
        <f>'Ristr. Apt SDP Jr'!P4</f>
        <v/>
      </c>
      <c r="P24" s="15" t="str">
        <f>'Ristr. Apt SDP Jr'!Q4</f>
        <v/>
      </c>
      <c r="Q24" s="15" t="str">
        <f>'Ristr. Apt SDP Jr'!R4</f>
        <v/>
      </c>
      <c r="R24" s="15" t="str">
        <f>'Ristr. Apt SDP Jr'!S4</f>
        <v/>
      </c>
      <c r="S24" s="9"/>
      <c r="T24" s="15">
        <f t="shared" si="2"/>
        <v>0</v>
      </c>
      <c r="U24" s="9"/>
      <c r="V24" s="9"/>
      <c r="W24" s="9"/>
      <c r="X24" s="9"/>
      <c r="Y24" s="9"/>
    </row>
    <row r="25" ht="15.75" customHeight="1">
      <c r="A25" s="23" t="s">
        <v>34</v>
      </c>
      <c r="B25" s="9"/>
      <c r="C25" s="15"/>
      <c r="D25" s="15"/>
      <c r="E25" s="15"/>
      <c r="F25" s="10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9"/>
      <c r="T25" s="15">
        <f t="shared" si="2"/>
        <v>0</v>
      </c>
      <c r="U25" s="9"/>
      <c r="V25" s="9"/>
      <c r="W25" s="9"/>
      <c r="X25" s="9"/>
      <c r="Y25" s="9"/>
    </row>
    <row r="26" ht="15.75" customHeight="1">
      <c r="A26" s="16"/>
      <c r="B26" s="9"/>
      <c r="C26" s="15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9"/>
      <c r="T26" s="15">
        <f t="shared" si="2"/>
        <v>0</v>
      </c>
      <c r="U26" s="9"/>
      <c r="V26" s="9"/>
      <c r="W26" s="9"/>
      <c r="X26" s="9"/>
      <c r="Y26" s="9"/>
    </row>
    <row r="27" ht="15.75" customHeight="1">
      <c r="A27" s="24"/>
      <c r="B27" s="25"/>
      <c r="C27" s="26"/>
      <c r="D27" s="27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5"/>
      <c r="T27" s="26">
        <f t="shared" si="2"/>
        <v>0</v>
      </c>
      <c r="U27" s="25"/>
      <c r="V27" s="25"/>
      <c r="W27" s="25"/>
      <c r="X27" s="25"/>
      <c r="Y27" s="25"/>
    </row>
    <row r="28" ht="15.75" customHeight="1">
      <c r="A28" s="28" t="s">
        <v>35</v>
      </c>
      <c r="B28" s="29"/>
      <c r="C28" s="29">
        <f t="shared" ref="C28:R28" si="5">SUM(C13:C27)</f>
        <v>0</v>
      </c>
      <c r="D28" s="29">
        <f t="shared" si="5"/>
        <v>0</v>
      </c>
      <c r="E28" s="29">
        <f t="shared" si="5"/>
        <v>0</v>
      </c>
      <c r="F28" s="29">
        <f t="shared" si="5"/>
        <v>0</v>
      </c>
      <c r="G28" s="29">
        <f t="shared" si="5"/>
        <v>0</v>
      </c>
      <c r="H28" s="29">
        <f t="shared" si="5"/>
        <v>0</v>
      </c>
      <c r="I28" s="29">
        <f t="shared" si="5"/>
        <v>0</v>
      </c>
      <c r="J28" s="29">
        <f t="shared" si="5"/>
        <v>0</v>
      </c>
      <c r="K28" s="29">
        <f t="shared" si="5"/>
        <v>506274.51</v>
      </c>
      <c r="L28" s="29">
        <f t="shared" si="5"/>
        <v>472256.2</v>
      </c>
      <c r="M28" s="29">
        <f t="shared" si="5"/>
        <v>357525.7142</v>
      </c>
      <c r="N28" s="29">
        <f t="shared" si="5"/>
        <v>247681.5652</v>
      </c>
      <c r="O28" s="29">
        <f t="shared" si="5"/>
        <v>158826.8742</v>
      </c>
      <c r="P28" s="29">
        <f t="shared" si="5"/>
        <v>47124.2034</v>
      </c>
      <c r="Q28" s="29">
        <f t="shared" si="5"/>
        <v>38819.93</v>
      </c>
      <c r="R28" s="29">
        <f t="shared" si="5"/>
        <v>118015.83</v>
      </c>
      <c r="S28" s="9"/>
      <c r="T28" s="29">
        <f t="shared" si="2"/>
        <v>1946524.827</v>
      </c>
      <c r="U28" s="9"/>
      <c r="V28" s="9"/>
      <c r="W28" s="9"/>
      <c r="X28" s="9"/>
      <c r="Y28" s="9"/>
    </row>
    <row r="29" ht="15.75" customHeight="1">
      <c r="A29" s="9"/>
      <c r="B29" s="9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9"/>
      <c r="T29" s="11">
        <f t="shared" si="2"/>
        <v>0</v>
      </c>
      <c r="U29" s="9"/>
      <c r="V29" s="9"/>
      <c r="W29" s="9"/>
      <c r="X29" s="9"/>
      <c r="Y29" s="9"/>
    </row>
    <row r="30" ht="15.75" customHeight="1">
      <c r="A30" s="30" t="s">
        <v>36</v>
      </c>
      <c r="B30" s="31"/>
      <c r="C30" s="31">
        <f t="shared" ref="C30:R30" si="6">C11-C28</f>
        <v>0</v>
      </c>
      <c r="D30" s="31">
        <f t="shared" si="6"/>
        <v>0</v>
      </c>
      <c r="E30" s="31">
        <f t="shared" si="6"/>
        <v>0</v>
      </c>
      <c r="F30" s="31">
        <f t="shared" si="6"/>
        <v>0</v>
      </c>
      <c r="G30" s="31">
        <f t="shared" si="6"/>
        <v>0</v>
      </c>
      <c r="H30" s="31">
        <f t="shared" si="6"/>
        <v>0</v>
      </c>
      <c r="I30" s="31">
        <f t="shared" si="6"/>
        <v>0</v>
      </c>
      <c r="J30" s="31">
        <f t="shared" si="6"/>
        <v>0</v>
      </c>
      <c r="K30" s="31">
        <f t="shared" si="6"/>
        <v>194585.5532</v>
      </c>
      <c r="L30" s="31">
        <f t="shared" si="6"/>
        <v>-74664.91181</v>
      </c>
      <c r="M30" s="31">
        <f t="shared" si="6"/>
        <v>-321905.7142</v>
      </c>
      <c r="N30" s="31">
        <f t="shared" si="6"/>
        <v>-222061.5652</v>
      </c>
      <c r="O30" s="31">
        <f t="shared" si="6"/>
        <v>-133206.8742</v>
      </c>
      <c r="P30" s="31">
        <f t="shared" si="6"/>
        <v>-21504.2034</v>
      </c>
      <c r="Q30" s="31">
        <f t="shared" si="6"/>
        <v>-13199.93</v>
      </c>
      <c r="R30" s="31">
        <f t="shared" si="6"/>
        <v>-92395.83</v>
      </c>
      <c r="S30" s="25"/>
      <c r="T30" s="31">
        <f>T11-T28</f>
        <v>-684353.4756</v>
      </c>
      <c r="U30" s="25"/>
      <c r="V30" s="25"/>
      <c r="W30" s="25"/>
      <c r="X30" s="25"/>
      <c r="Y30" s="25"/>
    </row>
    <row r="31" ht="15.75" customHeight="1">
      <c r="A31" s="9"/>
      <c r="B31" s="9"/>
      <c r="C31" s="11"/>
      <c r="D31" s="32" t="s">
        <v>37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9"/>
      <c r="T31" s="11">
        <f t="shared" ref="T31:T35" si="7">SUM(C31:S31)</f>
        <v>0</v>
      </c>
      <c r="U31" s="9"/>
      <c r="V31" s="9"/>
      <c r="W31" s="9"/>
      <c r="X31" s="9"/>
      <c r="Y31" s="9"/>
    </row>
    <row r="32">
      <c r="A32" s="9"/>
      <c r="B32" s="9"/>
      <c r="C32" s="10">
        <v>0.0</v>
      </c>
      <c r="D32" s="14"/>
      <c r="E32" s="15"/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9"/>
      <c r="T32" s="15">
        <f t="shared" si="7"/>
        <v>0</v>
      </c>
      <c r="U32" s="9"/>
      <c r="V32" s="9"/>
      <c r="W32" s="9"/>
      <c r="X32" s="9"/>
      <c r="Y32" s="9"/>
    </row>
    <row r="33">
      <c r="A33" s="9" t="s">
        <v>38</v>
      </c>
      <c r="B33" s="9"/>
      <c r="C33" s="10"/>
      <c r="D33" s="15"/>
      <c r="E33" s="15"/>
      <c r="F33" s="15"/>
      <c r="G33" s="15"/>
      <c r="H33" s="10"/>
      <c r="I33" s="33"/>
      <c r="K33" s="34">
        <v>1119503.26</v>
      </c>
      <c r="L33" s="15"/>
      <c r="M33" s="15"/>
      <c r="N33" s="15"/>
      <c r="O33" s="15"/>
      <c r="P33" s="15"/>
      <c r="Q33" s="15"/>
      <c r="R33" s="15"/>
      <c r="S33" s="9"/>
      <c r="T33" s="15">
        <f t="shared" si="7"/>
        <v>1119503.26</v>
      </c>
      <c r="U33" s="9"/>
      <c r="V33" s="9"/>
      <c r="W33" s="9"/>
      <c r="X33" s="9"/>
      <c r="Y33" s="9"/>
    </row>
    <row r="34">
      <c r="A34" s="9" t="s">
        <v>39</v>
      </c>
      <c r="B34" s="9"/>
      <c r="C34" s="10"/>
      <c r="D34" s="15"/>
      <c r="E34" s="15"/>
      <c r="F34" s="15"/>
      <c r="G34" s="15"/>
      <c r="H34" s="10"/>
      <c r="I34" s="33"/>
      <c r="K34" s="35">
        <v>91197.46</v>
      </c>
      <c r="L34" s="15"/>
      <c r="M34" s="15"/>
      <c r="N34" s="15"/>
      <c r="O34" s="15"/>
      <c r="P34" s="15"/>
      <c r="Q34" s="15"/>
      <c r="R34" s="15"/>
      <c r="S34" s="9"/>
      <c r="T34" s="15">
        <f t="shared" si="7"/>
        <v>91197.46</v>
      </c>
      <c r="U34" s="9"/>
      <c r="V34" s="9"/>
      <c r="W34" s="9"/>
      <c r="X34" s="9"/>
      <c r="Y34" s="9"/>
    </row>
    <row r="35">
      <c r="A35" s="9"/>
      <c r="B35" s="9"/>
      <c r="C35" s="36"/>
      <c r="D35" s="37"/>
      <c r="E35" s="37"/>
      <c r="F35" s="37"/>
      <c r="G35" s="37"/>
      <c r="H35" s="37"/>
      <c r="I35" s="38"/>
      <c r="J35" s="38"/>
      <c r="K35" s="37"/>
      <c r="L35" s="37"/>
      <c r="M35" s="37"/>
      <c r="N35" s="37"/>
      <c r="O35" s="37"/>
      <c r="P35" s="37"/>
      <c r="Q35" s="37"/>
      <c r="R35" s="37"/>
      <c r="S35" s="9"/>
      <c r="T35" s="37">
        <f t="shared" si="7"/>
        <v>0</v>
      </c>
      <c r="U35" s="9"/>
      <c r="V35" s="9"/>
      <c r="W35" s="9"/>
      <c r="X35" s="9"/>
      <c r="Y35" s="9"/>
    </row>
    <row r="36">
      <c r="A36" s="39" t="s">
        <v>40</v>
      </c>
      <c r="B36" s="40"/>
      <c r="C36" s="40">
        <f>SUM(C31:C35)</f>
        <v>0</v>
      </c>
      <c r="D36" s="40">
        <f t="shared" ref="D36:G36" si="8">C40</f>
        <v>0</v>
      </c>
      <c r="E36" s="40">
        <f t="shared" si="8"/>
        <v>0</v>
      </c>
      <c r="F36" s="40">
        <f t="shared" si="8"/>
        <v>0</v>
      </c>
      <c r="G36" s="40">
        <f t="shared" si="8"/>
        <v>0</v>
      </c>
      <c r="H36" s="40"/>
      <c r="I36" s="41"/>
      <c r="J36" s="41"/>
      <c r="K36" s="41">
        <f>K33+K34</f>
        <v>1210700.72</v>
      </c>
      <c r="L36" s="41">
        <f t="shared" ref="L36:R36" si="9">M33+M34+L35</f>
        <v>0</v>
      </c>
      <c r="M36" s="41">
        <f t="shared" si="9"/>
        <v>0</v>
      </c>
      <c r="N36" s="41">
        <f t="shared" si="9"/>
        <v>0</v>
      </c>
      <c r="O36" s="41">
        <f t="shared" si="9"/>
        <v>0</v>
      </c>
      <c r="P36" s="41">
        <f t="shared" si="9"/>
        <v>0</v>
      </c>
      <c r="Q36" s="41">
        <f t="shared" si="9"/>
        <v>0</v>
      </c>
      <c r="R36" s="41">
        <f t="shared" si="9"/>
        <v>0</v>
      </c>
      <c r="S36" s="25"/>
      <c r="T36" s="40">
        <f>T30+T33+T34</f>
        <v>526347.2444</v>
      </c>
      <c r="U36" s="25"/>
      <c r="V36" s="25"/>
      <c r="W36" s="25"/>
      <c r="X36" s="25"/>
      <c r="Y36" s="25"/>
    </row>
    <row r="37">
      <c r="A37" s="9"/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9"/>
      <c r="T37" s="11">
        <f t="shared" ref="T37:T39" si="10">SUM(C37:S37)</f>
        <v>0</v>
      </c>
      <c r="U37" s="9"/>
      <c r="V37" s="9"/>
      <c r="W37" s="9"/>
      <c r="X37" s="9"/>
      <c r="Y37" s="9"/>
    </row>
    <row r="38">
      <c r="A38" s="42" t="s">
        <v>41</v>
      </c>
      <c r="B38" s="43"/>
      <c r="C38" s="42"/>
      <c r="D38" s="42"/>
      <c r="E38" s="44">
        <v>0.0</v>
      </c>
      <c r="F38" s="44">
        <v>0.0</v>
      </c>
      <c r="G38" s="44">
        <v>0.0</v>
      </c>
      <c r="H38" s="44">
        <v>0.0</v>
      </c>
      <c r="I38" s="44">
        <v>0.0</v>
      </c>
      <c r="J38" s="44">
        <v>0.0</v>
      </c>
      <c r="K38" s="44">
        <v>0.0</v>
      </c>
      <c r="L38" s="44">
        <v>0.0</v>
      </c>
      <c r="M38" s="44">
        <v>0.0</v>
      </c>
      <c r="N38" s="44">
        <v>0.0</v>
      </c>
      <c r="O38" s="44">
        <v>0.0</v>
      </c>
      <c r="P38" s="44">
        <v>0.0</v>
      </c>
      <c r="Q38" s="44">
        <v>0.0</v>
      </c>
      <c r="R38" s="44">
        <v>0.0</v>
      </c>
      <c r="S38" s="25"/>
      <c r="T38" s="44">
        <f t="shared" si="10"/>
        <v>0</v>
      </c>
      <c r="U38" s="25"/>
      <c r="V38" s="25"/>
      <c r="W38" s="25"/>
      <c r="X38" s="25"/>
      <c r="Y38" s="25"/>
    </row>
    <row r="39">
      <c r="A39" s="13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9"/>
      <c r="T39" s="11">
        <f t="shared" si="10"/>
        <v>0</v>
      </c>
      <c r="U39" s="9"/>
      <c r="V39" s="9"/>
      <c r="W39" s="9"/>
      <c r="X39" s="9"/>
      <c r="Y39" s="9"/>
    </row>
    <row r="40">
      <c r="A40" s="45" t="s">
        <v>42</v>
      </c>
      <c r="B40" s="46"/>
      <c r="C40" s="31">
        <f>C36+C30</f>
        <v>0</v>
      </c>
      <c r="D40" s="31">
        <f t="shared" ref="D40:H40" si="11">D30+D36</f>
        <v>0</v>
      </c>
      <c r="E40" s="31">
        <f t="shared" si="11"/>
        <v>0</v>
      </c>
      <c r="F40" s="31">
        <f t="shared" si="11"/>
        <v>0</v>
      </c>
      <c r="G40" s="31">
        <f t="shared" si="11"/>
        <v>0</v>
      </c>
      <c r="H40" s="31">
        <f t="shared" si="11"/>
        <v>0</v>
      </c>
      <c r="I40" s="31">
        <f t="shared" ref="I40:R40" si="12">I3+I30</f>
        <v>0</v>
      </c>
      <c r="J40" s="31">
        <f t="shared" si="12"/>
        <v>0</v>
      </c>
      <c r="K40" s="31">
        <f t="shared" si="12"/>
        <v>1405286.273</v>
      </c>
      <c r="L40" s="31">
        <f t="shared" si="12"/>
        <v>1330621.361</v>
      </c>
      <c r="M40" s="31">
        <f t="shared" si="12"/>
        <v>1008715.647</v>
      </c>
      <c r="N40" s="31">
        <f t="shared" si="12"/>
        <v>786654.082</v>
      </c>
      <c r="O40" s="31">
        <f t="shared" si="12"/>
        <v>653447.2078</v>
      </c>
      <c r="P40" s="31">
        <f t="shared" si="12"/>
        <v>631943.0044</v>
      </c>
      <c r="Q40" s="31">
        <f t="shared" si="12"/>
        <v>618743.0744</v>
      </c>
      <c r="R40" s="31">
        <f t="shared" si="12"/>
        <v>526347.2444</v>
      </c>
      <c r="S40" s="25"/>
      <c r="T40" s="31">
        <f>R40-T36</f>
        <v>-0.0000000001164153218</v>
      </c>
      <c r="U40" s="25"/>
      <c r="V40" s="25"/>
      <c r="W40" s="25"/>
      <c r="X40" s="25"/>
      <c r="Y40" s="25"/>
    </row>
    <row r="41">
      <c r="A41" s="13"/>
      <c r="B41" s="9"/>
      <c r="C41" s="11"/>
      <c r="D41" s="47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9"/>
      <c r="T41" s="11">
        <f t="shared" ref="T41:T47" si="13">SUM(C41:S41)</f>
        <v>0</v>
      </c>
      <c r="U41" s="9"/>
      <c r="V41" s="9"/>
      <c r="W41" s="9"/>
      <c r="X41" s="9"/>
      <c r="Y41" s="9"/>
    </row>
    <row r="42" ht="15.75" customHeight="1">
      <c r="A42" s="16" t="s">
        <v>43</v>
      </c>
      <c r="B42" s="9"/>
      <c r="C42" s="15"/>
      <c r="D42" s="10">
        <v>0.0</v>
      </c>
      <c r="E42" s="10">
        <v>0.0</v>
      </c>
      <c r="F42" s="10"/>
      <c r="G42" s="10">
        <v>0.0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Q42" s="10">
        <v>0.0</v>
      </c>
      <c r="R42" s="10">
        <v>0.0</v>
      </c>
      <c r="S42" s="9"/>
      <c r="T42" s="10">
        <f t="shared" si="13"/>
        <v>0</v>
      </c>
      <c r="U42" s="9"/>
      <c r="V42" s="9"/>
      <c r="W42" s="9"/>
      <c r="X42" s="9"/>
      <c r="Y42" s="9"/>
    </row>
    <row r="43" ht="15.75" hidden="1" customHeight="1">
      <c r="A43" s="9"/>
      <c r="B43" s="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9"/>
      <c r="T43" s="15">
        <f t="shared" si="13"/>
        <v>0</v>
      </c>
      <c r="U43" s="9"/>
      <c r="V43" s="9"/>
      <c r="W43" s="9"/>
      <c r="X43" s="9"/>
      <c r="Y43" s="9"/>
    </row>
    <row r="44" ht="15.75" hidden="1" customHeight="1">
      <c r="A44" s="9"/>
      <c r="B44" s="9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9"/>
      <c r="T44" s="15">
        <f t="shared" si="13"/>
        <v>0</v>
      </c>
      <c r="U44" s="9"/>
      <c r="V44" s="9"/>
      <c r="W44" s="9"/>
      <c r="X44" s="9"/>
      <c r="Y44" s="9"/>
    </row>
    <row r="45" ht="15.75" hidden="1" customHeight="1">
      <c r="A45" s="9"/>
      <c r="B45" s="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9"/>
      <c r="T45" s="15">
        <f t="shared" si="13"/>
        <v>0</v>
      </c>
      <c r="U45" s="9"/>
      <c r="V45" s="9"/>
      <c r="W45" s="9"/>
      <c r="X45" s="9"/>
      <c r="Y45" s="9"/>
    </row>
    <row r="46" ht="15.75" customHeight="1">
      <c r="A46" s="48" t="s">
        <v>44</v>
      </c>
      <c r="B46" s="49"/>
      <c r="C46" s="49">
        <f t="shared" ref="C46:R46" si="14">SUM(C42:C45)</f>
        <v>0</v>
      </c>
      <c r="D46" s="49">
        <f t="shared" si="14"/>
        <v>0</v>
      </c>
      <c r="E46" s="49">
        <f t="shared" si="14"/>
        <v>0</v>
      </c>
      <c r="F46" s="49">
        <f t="shared" si="14"/>
        <v>0</v>
      </c>
      <c r="G46" s="49">
        <f t="shared" si="14"/>
        <v>0</v>
      </c>
      <c r="H46" s="49">
        <f t="shared" si="14"/>
        <v>0</v>
      </c>
      <c r="I46" s="49">
        <f t="shared" si="14"/>
        <v>0</v>
      </c>
      <c r="J46" s="49">
        <f t="shared" si="14"/>
        <v>0</v>
      </c>
      <c r="K46" s="49">
        <f t="shared" si="14"/>
        <v>0</v>
      </c>
      <c r="L46" s="49">
        <f t="shared" si="14"/>
        <v>0</v>
      </c>
      <c r="M46" s="49">
        <f t="shared" si="14"/>
        <v>0</v>
      </c>
      <c r="N46" s="49">
        <f t="shared" si="14"/>
        <v>0</v>
      </c>
      <c r="O46" s="49">
        <f t="shared" si="14"/>
        <v>0</v>
      </c>
      <c r="P46" s="49">
        <f t="shared" si="14"/>
        <v>0</v>
      </c>
      <c r="Q46" s="49">
        <f t="shared" si="14"/>
        <v>0</v>
      </c>
      <c r="R46" s="49">
        <f t="shared" si="14"/>
        <v>0</v>
      </c>
      <c r="S46" s="9"/>
      <c r="T46" s="49">
        <f t="shared" si="13"/>
        <v>0</v>
      </c>
      <c r="U46" s="9"/>
      <c r="V46" s="9"/>
      <c r="W46" s="9"/>
      <c r="X46" s="9"/>
      <c r="Y46" s="9"/>
    </row>
    <row r="47" ht="15.75" customHeight="1">
      <c r="A47" s="9"/>
      <c r="B47" s="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9"/>
      <c r="T47" s="11">
        <f t="shared" si="13"/>
        <v>0</v>
      </c>
      <c r="U47" s="9"/>
      <c r="V47" s="9"/>
      <c r="W47" s="9"/>
      <c r="X47" s="9"/>
      <c r="Y47" s="9"/>
    </row>
    <row r="48">
      <c r="A48" s="50" t="s">
        <v>45</v>
      </c>
      <c r="B48" s="46"/>
      <c r="C48" s="31">
        <f t="shared" ref="C48:R48" si="15">C40+C46</f>
        <v>0</v>
      </c>
      <c r="D48" s="31">
        <f t="shared" si="15"/>
        <v>0</v>
      </c>
      <c r="E48" s="31">
        <f t="shared" si="15"/>
        <v>0</v>
      </c>
      <c r="F48" s="31">
        <f t="shared" si="15"/>
        <v>0</v>
      </c>
      <c r="G48" s="31">
        <f t="shared" si="15"/>
        <v>0</v>
      </c>
      <c r="H48" s="31">
        <f t="shared" si="15"/>
        <v>0</v>
      </c>
      <c r="I48" s="31">
        <f t="shared" si="15"/>
        <v>0</v>
      </c>
      <c r="J48" s="31">
        <f t="shared" si="15"/>
        <v>0</v>
      </c>
      <c r="K48" s="31">
        <f t="shared" si="15"/>
        <v>1405286.273</v>
      </c>
      <c r="L48" s="31">
        <f t="shared" si="15"/>
        <v>1330621.361</v>
      </c>
      <c r="M48" s="31">
        <f t="shared" si="15"/>
        <v>1008715.647</v>
      </c>
      <c r="N48" s="31">
        <f t="shared" si="15"/>
        <v>786654.082</v>
      </c>
      <c r="O48" s="31">
        <f t="shared" si="15"/>
        <v>653447.2078</v>
      </c>
      <c r="P48" s="31">
        <f t="shared" si="15"/>
        <v>631943.0044</v>
      </c>
      <c r="Q48" s="31">
        <f t="shared" si="15"/>
        <v>618743.0744</v>
      </c>
      <c r="R48" s="31">
        <f t="shared" si="15"/>
        <v>526347.2444</v>
      </c>
      <c r="S48" s="25"/>
      <c r="T48" s="31"/>
      <c r="U48" s="25"/>
      <c r="V48" s="25"/>
      <c r="W48" s="25"/>
      <c r="X48" s="25"/>
      <c r="Y48" s="25"/>
    </row>
    <row r="49" ht="15.75" customHeight="1">
      <c r="A49" s="9"/>
      <c r="B49" s="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9"/>
      <c r="T49" s="9"/>
      <c r="U49" s="9"/>
      <c r="V49" s="9"/>
      <c r="W49" s="9"/>
      <c r="X49" s="9"/>
      <c r="Y49" s="9"/>
    </row>
    <row r="50" ht="15.75" customHeight="1">
      <c r="A50" s="9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9"/>
      <c r="T50" s="9"/>
      <c r="U50" s="9"/>
      <c r="V50" s="9"/>
      <c r="W50" s="9"/>
      <c r="X50" s="9"/>
      <c r="Y50" s="9"/>
    </row>
    <row r="51" ht="15.75" customHeight="1">
      <c r="A51" s="9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9"/>
      <c r="T51" s="9"/>
      <c r="U51" s="9"/>
      <c r="V51" s="9"/>
      <c r="W51" s="9"/>
      <c r="X51" s="9"/>
      <c r="Y51" s="9"/>
    </row>
    <row r="52" ht="15.75" customHeight="1">
      <c r="A52" s="9"/>
      <c r="B52" s="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9"/>
      <c r="T52" s="9"/>
      <c r="U52" s="9"/>
      <c r="V52" s="9"/>
      <c r="W52" s="9"/>
      <c r="X52" s="9"/>
      <c r="Y52" s="9"/>
    </row>
    <row r="53" ht="15.75" customHeight="1">
      <c r="A53" s="9"/>
      <c r="B53" s="9"/>
      <c r="C53" s="11"/>
      <c r="D53" s="11"/>
      <c r="E53" s="32"/>
      <c r="F53" s="5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9"/>
      <c r="T53" s="9"/>
      <c r="U53" s="9"/>
      <c r="V53" s="9"/>
      <c r="W53" s="9"/>
      <c r="X53" s="9"/>
      <c r="Y53" s="9"/>
    </row>
    <row r="54" ht="15.75" customHeight="1">
      <c r="A54" s="9"/>
      <c r="B54" s="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9"/>
      <c r="T54" s="9"/>
      <c r="U54" s="9"/>
      <c r="V54" s="9"/>
      <c r="W54" s="9"/>
      <c r="X54" s="9"/>
      <c r="Y54" s="9"/>
    </row>
    <row r="55" ht="15.75" customHeight="1">
      <c r="A55" s="9"/>
      <c r="B55" s="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9"/>
      <c r="T55" s="9"/>
      <c r="U55" s="9"/>
      <c r="V55" s="9"/>
      <c r="W55" s="9"/>
      <c r="X55" s="9"/>
      <c r="Y55" s="9"/>
    </row>
    <row r="56" ht="15.75" customHeight="1">
      <c r="A56" s="9"/>
      <c r="B56" s="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9"/>
      <c r="T56" s="9"/>
      <c r="U56" s="9"/>
      <c r="V56" s="9"/>
      <c r="W56" s="9"/>
      <c r="X56" s="9"/>
      <c r="Y56" s="9"/>
    </row>
    <row r="57" ht="15.75" customHeight="1">
      <c r="A57" s="9"/>
      <c r="B57" s="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9"/>
      <c r="T57" s="9"/>
      <c r="U57" s="9"/>
      <c r="V57" s="9"/>
      <c r="W57" s="9"/>
      <c r="X57" s="9"/>
      <c r="Y57" s="9"/>
    </row>
    <row r="58" ht="15.75" customHeight="1">
      <c r="A58" s="9"/>
      <c r="B58" s="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9"/>
      <c r="T58" s="9"/>
      <c r="U58" s="9"/>
      <c r="V58" s="9"/>
      <c r="W58" s="9"/>
      <c r="X58" s="9"/>
      <c r="Y58" s="9"/>
    </row>
    <row r="59" ht="15.75" customHeight="1">
      <c r="A59" s="9"/>
      <c r="B59" s="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9"/>
      <c r="T59" s="9"/>
      <c r="U59" s="9"/>
      <c r="V59" s="9"/>
      <c r="W59" s="9"/>
      <c r="X59" s="9"/>
      <c r="Y59" s="9"/>
    </row>
    <row r="60" ht="15.75" customHeight="1">
      <c r="A60" s="9"/>
      <c r="B60" s="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9"/>
      <c r="T60" s="9"/>
      <c r="U60" s="9"/>
      <c r="V60" s="9"/>
      <c r="W60" s="9"/>
      <c r="X60" s="9"/>
      <c r="Y60" s="9"/>
    </row>
    <row r="61" ht="15.75" customHeight="1">
      <c r="A61" s="9"/>
      <c r="B61" s="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9"/>
      <c r="T61" s="9"/>
      <c r="U61" s="9"/>
      <c r="V61" s="9"/>
      <c r="W61" s="9"/>
      <c r="X61" s="9"/>
      <c r="Y61" s="9"/>
    </row>
    <row r="62" ht="15.75" customHeight="1">
      <c r="A62" s="9"/>
      <c r="B62" s="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9"/>
      <c r="T62" s="9"/>
      <c r="U62" s="9"/>
      <c r="V62" s="9"/>
      <c r="W62" s="9"/>
      <c r="X62" s="9"/>
      <c r="Y62" s="9"/>
    </row>
    <row r="63" ht="15.75" customHeight="1">
      <c r="A63" s="9"/>
      <c r="B63" s="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9"/>
      <c r="T63" s="9"/>
      <c r="U63" s="9"/>
      <c r="V63" s="9"/>
      <c r="W63" s="9"/>
      <c r="X63" s="9"/>
      <c r="Y63" s="9"/>
    </row>
    <row r="64" ht="15.75" customHeight="1">
      <c r="A64" s="9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9"/>
      <c r="T64" s="9"/>
      <c r="U64" s="9"/>
      <c r="V64" s="9"/>
      <c r="W64" s="9"/>
      <c r="X64" s="9"/>
      <c r="Y64" s="9"/>
    </row>
    <row r="65" ht="15.75" customHeight="1">
      <c r="A65" s="9"/>
      <c r="B65" s="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9"/>
      <c r="T65" s="9"/>
      <c r="U65" s="9"/>
      <c r="V65" s="9"/>
      <c r="W65" s="9"/>
      <c r="X65" s="9"/>
      <c r="Y65" s="9"/>
    </row>
    <row r="66" ht="15.75" customHeight="1">
      <c r="A66" s="9"/>
      <c r="B66" s="9"/>
      <c r="C66" s="52">
        <v>286591.62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9"/>
      <c r="T66" s="9"/>
      <c r="U66" s="9"/>
      <c r="V66" s="9"/>
      <c r="W66" s="9"/>
      <c r="X66" s="9"/>
      <c r="Y66" s="9"/>
    </row>
    <row r="67" ht="15.75" customHeight="1">
      <c r="A67" s="9"/>
      <c r="B67" s="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9"/>
      <c r="T67" s="9"/>
      <c r="U67" s="9"/>
      <c r="V67" s="9"/>
      <c r="W67" s="9"/>
      <c r="X67" s="9"/>
      <c r="Y67" s="9"/>
    </row>
    <row r="68" ht="15.75" customHeight="1">
      <c r="A68" s="9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9"/>
      <c r="T68" s="9"/>
      <c r="U68" s="9"/>
      <c r="V68" s="9"/>
      <c r="W68" s="9"/>
      <c r="X68" s="9"/>
      <c r="Y68" s="9"/>
    </row>
    <row r="69" ht="15.75" customHeight="1">
      <c r="A69" s="9"/>
      <c r="B69" s="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9"/>
      <c r="T69" s="9"/>
      <c r="U69" s="9"/>
      <c r="V69" s="9"/>
      <c r="W69" s="9"/>
      <c r="X69" s="9"/>
      <c r="Y69" s="9"/>
    </row>
    <row r="70" ht="15.75" customHeight="1">
      <c r="A70" s="9"/>
      <c r="B70" s="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9"/>
      <c r="T70" s="9"/>
      <c r="U70" s="9"/>
      <c r="V70" s="9"/>
      <c r="W70" s="9"/>
      <c r="X70" s="9"/>
      <c r="Y70" s="9"/>
    </row>
    <row r="71" ht="15.75" customHeight="1">
      <c r="A71" s="9"/>
      <c r="B71" s="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9"/>
      <c r="T71" s="9"/>
      <c r="U71" s="9"/>
      <c r="V71" s="9"/>
      <c r="W71" s="9"/>
      <c r="X71" s="9"/>
      <c r="Y71" s="9"/>
    </row>
    <row r="72" ht="15.75" customHeight="1">
      <c r="A72" s="9"/>
      <c r="B72" s="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9"/>
      <c r="T72" s="9"/>
      <c r="U72" s="9"/>
      <c r="V72" s="9"/>
      <c r="W72" s="9"/>
      <c r="X72" s="9"/>
      <c r="Y72" s="9"/>
    </row>
    <row r="73" ht="15.75" customHeight="1">
      <c r="A73" s="9"/>
      <c r="B73" s="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9"/>
      <c r="T73" s="9"/>
      <c r="U73" s="9"/>
      <c r="V73" s="9"/>
      <c r="W73" s="9"/>
      <c r="X73" s="9"/>
      <c r="Y73" s="9"/>
    </row>
    <row r="74" ht="15.75" customHeight="1">
      <c r="A74" s="9"/>
      <c r="B74" s="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9"/>
      <c r="T74" s="9"/>
      <c r="U74" s="9"/>
      <c r="V74" s="9"/>
      <c r="W74" s="9"/>
      <c r="X74" s="9"/>
      <c r="Y74" s="9"/>
    </row>
    <row r="75" ht="15.75" customHeight="1">
      <c r="A75" s="9"/>
      <c r="B75" s="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9"/>
      <c r="T75" s="9"/>
      <c r="U75" s="9"/>
      <c r="V75" s="9"/>
      <c r="W75" s="9"/>
      <c r="X75" s="9"/>
      <c r="Y75" s="9"/>
    </row>
    <row r="76" ht="15.75" customHeight="1">
      <c r="A76" s="9"/>
      <c r="B76" s="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9"/>
      <c r="T76" s="9"/>
      <c r="U76" s="9"/>
      <c r="V76" s="9"/>
      <c r="W76" s="9"/>
      <c r="X76" s="9"/>
      <c r="Y76" s="9"/>
    </row>
    <row r="77" ht="15.75" customHeight="1">
      <c r="A77" s="9"/>
      <c r="B77" s="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9"/>
      <c r="T77" s="9"/>
      <c r="U77" s="9"/>
      <c r="V77" s="9"/>
      <c r="W77" s="9"/>
      <c r="X77" s="9"/>
      <c r="Y77" s="9"/>
    </row>
    <row r="78" ht="15.75" customHeight="1">
      <c r="A78" s="9"/>
      <c r="B78" s="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9"/>
      <c r="T78" s="9"/>
      <c r="U78" s="9"/>
      <c r="V78" s="9"/>
      <c r="W78" s="9"/>
      <c r="X78" s="9"/>
      <c r="Y78" s="9"/>
    </row>
    <row r="79" ht="15.75" customHeight="1">
      <c r="A79" s="9"/>
      <c r="B79" s="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9"/>
      <c r="T79" s="9"/>
      <c r="U79" s="9"/>
      <c r="V79" s="9"/>
      <c r="W79" s="9"/>
      <c r="X79" s="9"/>
      <c r="Y79" s="9"/>
    </row>
    <row r="80" ht="15.75" customHeight="1">
      <c r="A80" s="9"/>
      <c r="B80" s="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9"/>
      <c r="T80" s="9"/>
      <c r="U80" s="9"/>
      <c r="V80" s="9"/>
      <c r="W80" s="9"/>
      <c r="X80" s="9"/>
      <c r="Y80" s="9"/>
    </row>
    <row r="81" ht="15.75" customHeight="1">
      <c r="A81" s="9"/>
      <c r="B81" s="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9"/>
      <c r="T82" s="9"/>
      <c r="U82" s="9"/>
      <c r="V82" s="9"/>
      <c r="W82" s="9"/>
      <c r="X82" s="9"/>
      <c r="Y82" s="9"/>
    </row>
    <row r="83" ht="15.75" customHeight="1">
      <c r="A83" s="9"/>
      <c r="B83" s="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9"/>
      <c r="T83" s="9"/>
      <c r="U83" s="9"/>
      <c r="V83" s="9"/>
      <c r="W83" s="9"/>
      <c r="X83" s="9"/>
      <c r="Y83" s="9"/>
    </row>
    <row r="84" ht="15.75" customHeight="1">
      <c r="A84" s="9"/>
      <c r="B84" s="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9"/>
      <c r="T84" s="9"/>
      <c r="U84" s="9"/>
      <c r="V84" s="9"/>
      <c r="W84" s="9"/>
      <c r="X84" s="9"/>
      <c r="Y84" s="9"/>
    </row>
    <row r="85" ht="15.75" customHeight="1">
      <c r="A85" s="9"/>
      <c r="B85" s="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9"/>
      <c r="T85" s="9"/>
      <c r="U85" s="9"/>
      <c r="V85" s="9"/>
      <c r="W85" s="9"/>
      <c r="X85" s="9"/>
      <c r="Y85" s="9"/>
    </row>
    <row r="86" ht="15.75" customHeight="1">
      <c r="A86" s="9"/>
      <c r="B86" s="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9"/>
      <c r="T86" s="9"/>
      <c r="U86" s="9"/>
      <c r="V86" s="9"/>
      <c r="W86" s="9"/>
      <c r="X86" s="9"/>
      <c r="Y86" s="9"/>
    </row>
    <row r="87" ht="15.75" customHeight="1">
      <c r="A87" s="9"/>
      <c r="B87" s="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9"/>
      <c r="T87" s="9"/>
      <c r="U87" s="9"/>
      <c r="V87" s="9"/>
      <c r="W87" s="9"/>
      <c r="X87" s="9"/>
      <c r="Y87" s="9"/>
    </row>
    <row r="88" ht="15.75" customHeight="1">
      <c r="A88" s="9"/>
      <c r="B88" s="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9"/>
      <c r="T88" s="9"/>
      <c r="U88" s="9"/>
      <c r="V88" s="9"/>
      <c r="W88" s="9"/>
      <c r="X88" s="9"/>
      <c r="Y88" s="9"/>
    </row>
    <row r="89" ht="15.75" customHeight="1">
      <c r="A89" s="9"/>
      <c r="B89" s="9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9"/>
      <c r="T89" s="9"/>
      <c r="U89" s="9"/>
      <c r="V89" s="9"/>
      <c r="W89" s="9"/>
      <c r="X89" s="9"/>
      <c r="Y89" s="9"/>
    </row>
    <row r="90" ht="15.75" customHeight="1">
      <c r="A90" s="9"/>
      <c r="B90" s="9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9"/>
      <c r="T90" s="9"/>
      <c r="U90" s="9"/>
      <c r="V90" s="9"/>
      <c r="W90" s="9"/>
      <c r="X90" s="9"/>
      <c r="Y90" s="9"/>
    </row>
    <row r="91" ht="15.75" customHeight="1">
      <c r="A91" s="9"/>
      <c r="B91" s="9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9"/>
      <c r="T91" s="9"/>
      <c r="U91" s="9"/>
      <c r="V91" s="9"/>
      <c r="W91" s="9"/>
      <c r="X91" s="9"/>
      <c r="Y91" s="9"/>
    </row>
    <row r="92" ht="15.75" customHeight="1">
      <c r="A92" s="9"/>
      <c r="B92" s="9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9"/>
      <c r="T92" s="9"/>
      <c r="U92" s="9"/>
      <c r="V92" s="9"/>
      <c r="W92" s="9"/>
      <c r="X92" s="9"/>
      <c r="Y92" s="9"/>
    </row>
    <row r="93" ht="15.75" customHeight="1">
      <c r="A93" s="9"/>
      <c r="B93" s="9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9"/>
      <c r="T93" s="9"/>
      <c r="U93" s="9"/>
      <c r="V93" s="9"/>
      <c r="W93" s="9"/>
      <c r="X93" s="9"/>
      <c r="Y93" s="9"/>
    </row>
    <row r="94" ht="15.75" customHeight="1">
      <c r="A94" s="9"/>
      <c r="B94" s="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9"/>
      <c r="T94" s="9"/>
      <c r="U94" s="9"/>
      <c r="V94" s="9"/>
      <c r="W94" s="9"/>
      <c r="X94" s="9"/>
      <c r="Y94" s="9"/>
    </row>
    <row r="95" ht="15.75" customHeight="1">
      <c r="A95" s="9"/>
      <c r="B95" s="9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9"/>
      <c r="T95" s="9"/>
      <c r="U95" s="9"/>
      <c r="V95" s="9"/>
      <c r="W95" s="9"/>
      <c r="X95" s="9"/>
      <c r="Y95" s="9"/>
    </row>
    <row r="96" ht="15.75" customHeight="1">
      <c r="A96" s="9"/>
      <c r="B96" s="9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9"/>
      <c r="T96" s="9"/>
      <c r="U96" s="9"/>
      <c r="V96" s="9"/>
      <c r="W96" s="9"/>
      <c r="X96" s="9"/>
      <c r="Y96" s="9"/>
    </row>
    <row r="97" ht="15.75" customHeight="1">
      <c r="A97" s="9"/>
      <c r="B97" s="9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9"/>
      <c r="T97" s="9"/>
      <c r="U97" s="9"/>
      <c r="V97" s="9"/>
      <c r="W97" s="9"/>
      <c r="X97" s="9"/>
      <c r="Y97" s="9"/>
    </row>
    <row r="98" ht="15.75" customHeight="1">
      <c r="A98" s="9"/>
      <c r="B98" s="9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9"/>
      <c r="T98" s="9"/>
      <c r="U98" s="9"/>
      <c r="V98" s="9"/>
      <c r="W98" s="9"/>
      <c r="X98" s="9"/>
      <c r="Y98" s="9"/>
    </row>
    <row r="99" ht="15.75" customHeight="1">
      <c r="A99" s="9"/>
      <c r="B99" s="9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9"/>
      <c r="T99" s="9"/>
      <c r="U99" s="9"/>
      <c r="V99" s="9"/>
      <c r="W99" s="9"/>
      <c r="X99" s="9"/>
      <c r="Y99" s="9"/>
    </row>
    <row r="100" ht="15.75" customHeight="1">
      <c r="A100" s="9"/>
      <c r="B100" s="9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9"/>
      <c r="T102" s="9"/>
      <c r="U102" s="9"/>
      <c r="V102" s="9"/>
      <c r="W102" s="9"/>
      <c r="X102" s="9"/>
      <c r="Y102" s="9"/>
    </row>
    <row r="103" ht="15.75" customHeight="1">
      <c r="A103" s="9"/>
      <c r="B103" s="9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9"/>
      <c r="T103" s="9"/>
      <c r="U103" s="9"/>
      <c r="V103" s="9"/>
      <c r="W103" s="9"/>
      <c r="X103" s="9"/>
      <c r="Y103" s="9"/>
    </row>
    <row r="104" ht="15.75" customHeight="1">
      <c r="A104" s="9"/>
      <c r="B104" s="9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9"/>
      <c r="T104" s="9"/>
      <c r="U104" s="9"/>
      <c r="V104" s="9"/>
      <c r="W104" s="9"/>
      <c r="X104" s="9"/>
      <c r="Y104" s="9"/>
    </row>
    <row r="105" ht="15.75" customHeight="1">
      <c r="A105" s="9"/>
      <c r="B105" s="9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9"/>
      <c r="T105" s="9"/>
      <c r="U105" s="9"/>
      <c r="V105" s="9"/>
      <c r="W105" s="9"/>
      <c r="X105" s="9"/>
      <c r="Y105" s="9"/>
    </row>
    <row r="106" ht="15.75" customHeight="1">
      <c r="A106" s="9"/>
      <c r="B106" s="9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9"/>
      <c r="T106" s="9"/>
      <c r="U106" s="9"/>
      <c r="V106" s="9"/>
      <c r="W106" s="9"/>
      <c r="X106" s="9"/>
      <c r="Y106" s="9"/>
    </row>
    <row r="107" ht="15.75" customHeight="1">
      <c r="A107" s="9"/>
      <c r="B107" s="9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9"/>
      <c r="T107" s="9"/>
      <c r="U107" s="9"/>
      <c r="V107" s="9"/>
      <c r="W107" s="9"/>
      <c r="X107" s="9"/>
      <c r="Y107" s="9"/>
    </row>
    <row r="108" ht="15.75" customHeight="1">
      <c r="A108" s="9"/>
      <c r="B108" s="9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9"/>
      <c r="T108" s="9"/>
      <c r="U108" s="9"/>
      <c r="V108" s="9"/>
      <c r="W108" s="9"/>
      <c r="X108" s="9"/>
      <c r="Y108" s="9"/>
    </row>
    <row r="109" ht="15.75" customHeight="1">
      <c r="A109" s="9"/>
      <c r="B109" s="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9"/>
      <c r="T109" s="9"/>
      <c r="U109" s="9"/>
      <c r="V109" s="9"/>
      <c r="W109" s="9"/>
      <c r="X109" s="9"/>
      <c r="Y109" s="9"/>
    </row>
    <row r="110" ht="15.75" customHeight="1">
      <c r="A110" s="9"/>
      <c r="B110" s="9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</sheetData>
  <mergeCells count="3">
    <mergeCell ref="A1:A2"/>
    <mergeCell ref="C1:N1"/>
    <mergeCell ref="O1:R1"/>
  </mergeCells>
  <conditionalFormatting sqref="C40:R40 T40 C48:R48 T48">
    <cfRule type="cellIs" dxfId="0" priority="1" operator="greaterThan">
      <formula>0</formula>
    </cfRule>
  </conditionalFormatting>
  <conditionalFormatting sqref="C40:R40 T40 C48:R48 T48">
    <cfRule type="cellIs" dxfId="1" priority="2" operator="lessThanOrEqual">
      <formula>0</formula>
    </cfRule>
  </conditionalFormatting>
  <printOptions/>
  <pageMargins bottom="0.75" footer="0.0" header="0.0" left="0.7" right="0.7" top="0.75"/>
  <pageSetup paperSize="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1.0"/>
    <col customWidth="1" min="3" max="3" width="11.89"/>
    <col customWidth="1" min="4" max="15" width="11.56"/>
    <col customWidth="1" min="16" max="22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</row>
    <row r="3">
      <c r="A3" s="25"/>
      <c r="B3" s="31" t="s">
        <v>46</v>
      </c>
      <c r="C3" s="31">
        <f>SUM(D3:S3)</f>
        <v>0</v>
      </c>
      <c r="D3" s="31">
        <f t="shared" ref="D3:O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54"/>
      <c r="Q3" s="54"/>
      <c r="R3" s="54"/>
      <c r="S3" s="54"/>
      <c r="T3" s="25"/>
      <c r="U3" s="25"/>
      <c r="V3" s="25"/>
    </row>
    <row r="4">
      <c r="A4" s="9"/>
      <c r="B4" s="55"/>
      <c r="C4" s="33">
        <f t="shared" ref="C4:C68" si="2">SUM(D4:S4)</f>
        <v>0</v>
      </c>
      <c r="D4" s="56"/>
      <c r="E4" s="56"/>
      <c r="F4" s="56"/>
      <c r="G4" s="56"/>
      <c r="H4" s="56"/>
      <c r="I4" s="55"/>
      <c r="J4" s="55"/>
      <c r="K4" s="55"/>
      <c r="L4" s="55"/>
      <c r="M4" s="55"/>
      <c r="N4" s="55"/>
      <c r="O4" s="55"/>
      <c r="P4" s="57"/>
      <c r="Q4" s="57"/>
      <c r="R4" s="57"/>
      <c r="S4" s="57"/>
      <c r="T4" s="9"/>
      <c r="U4" s="9"/>
      <c r="V4" s="9"/>
    </row>
    <row r="5">
      <c r="A5" s="9"/>
      <c r="B5" s="15"/>
      <c r="C5" s="33">
        <f t="shared" si="2"/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58"/>
      <c r="Q5" s="58"/>
      <c r="R5" s="58"/>
      <c r="S5" s="58"/>
      <c r="T5" s="9"/>
      <c r="U5" s="9"/>
      <c r="V5" s="9"/>
    </row>
    <row r="6">
      <c r="A6" s="9"/>
      <c r="B6" s="15"/>
      <c r="C6" s="33">
        <f t="shared" si="2"/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58"/>
      <c r="Q6" s="58"/>
      <c r="R6" s="58"/>
      <c r="S6" s="58"/>
      <c r="T6" s="9"/>
      <c r="U6" s="9"/>
      <c r="V6" s="9"/>
    </row>
    <row r="7">
      <c r="A7" s="9"/>
      <c r="B7" s="10"/>
      <c r="C7" s="33">
        <f t="shared" si="2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58"/>
      <c r="Q7" s="58"/>
      <c r="R7" s="58"/>
      <c r="S7" s="58"/>
      <c r="T7" s="9"/>
      <c r="U7" s="9"/>
      <c r="V7" s="9"/>
    </row>
    <row r="8">
      <c r="A8" s="9"/>
      <c r="B8" s="15"/>
      <c r="C8" s="33">
        <f t="shared" si="2"/>
        <v>0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58"/>
      <c r="Q8" s="58"/>
      <c r="R8" s="58"/>
      <c r="S8" s="58"/>
      <c r="T8" s="9"/>
      <c r="U8" s="9"/>
      <c r="V8" s="9"/>
    </row>
    <row r="9">
      <c r="A9" s="9"/>
      <c r="B9" s="15"/>
      <c r="C9" s="33">
        <f t="shared" si="2"/>
        <v>0</v>
      </c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58"/>
      <c r="Q9" s="58"/>
      <c r="R9" s="58"/>
      <c r="S9" s="58"/>
      <c r="T9" s="9"/>
      <c r="U9" s="9"/>
      <c r="V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58"/>
      <c r="Q10" s="58"/>
      <c r="R10" s="58"/>
      <c r="S10" s="58"/>
      <c r="T10" s="9"/>
      <c r="U10" s="9"/>
      <c r="V10" s="9"/>
    </row>
    <row r="11">
      <c r="A11" s="9"/>
      <c r="B11" s="15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58"/>
      <c r="Q11" s="58"/>
      <c r="R11" s="58"/>
      <c r="S11" s="58"/>
      <c r="T11" s="9"/>
      <c r="U11" s="9"/>
      <c r="V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8"/>
      <c r="Q12" s="58"/>
      <c r="R12" s="58"/>
      <c r="S12" s="58"/>
      <c r="T12" s="9"/>
      <c r="U12" s="9"/>
      <c r="V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58"/>
      <c r="Q13" s="58"/>
      <c r="R13" s="58"/>
      <c r="S13" s="58"/>
      <c r="T13" s="9"/>
      <c r="U13" s="9"/>
      <c r="V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58"/>
      <c r="Q14" s="58"/>
      <c r="R14" s="58"/>
      <c r="S14" s="58"/>
      <c r="T14" s="9"/>
      <c r="U14" s="9"/>
      <c r="V14" s="9"/>
    </row>
    <row r="15">
      <c r="A15" s="9"/>
      <c r="B15" s="14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58"/>
      <c r="Q15" s="58"/>
      <c r="R15" s="58"/>
      <c r="S15" s="58"/>
      <c r="T15" s="9"/>
      <c r="U15" s="9"/>
      <c r="V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58"/>
      <c r="Q16" s="58"/>
      <c r="R16" s="58"/>
      <c r="S16" s="58"/>
      <c r="T16" s="9"/>
      <c r="U16" s="9"/>
      <c r="V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58"/>
      <c r="Q17" s="58"/>
      <c r="R17" s="58"/>
      <c r="S17" s="58"/>
      <c r="T17" s="9"/>
      <c r="U17" s="9"/>
      <c r="V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58"/>
      <c r="Q18" s="58"/>
      <c r="R18" s="58"/>
      <c r="S18" s="58"/>
      <c r="T18" s="9"/>
      <c r="U18" s="9"/>
      <c r="V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58"/>
      <c r="Q19" s="58"/>
      <c r="R19" s="58"/>
      <c r="S19" s="58"/>
      <c r="T19" s="9"/>
      <c r="U19" s="9"/>
      <c r="V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58"/>
      <c r="Q20" s="58"/>
      <c r="R20" s="58"/>
      <c r="S20" s="58"/>
      <c r="T20" s="9"/>
      <c r="U20" s="9"/>
      <c r="V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58"/>
      <c r="Q21" s="58"/>
      <c r="R21" s="58"/>
      <c r="S21" s="58"/>
      <c r="T21" s="9"/>
      <c r="U21" s="9"/>
      <c r="V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58"/>
      <c r="Q22" s="58"/>
      <c r="R22" s="58"/>
      <c r="S22" s="58"/>
      <c r="T22" s="9"/>
      <c r="U22" s="9"/>
      <c r="V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58"/>
      <c r="Q23" s="58"/>
      <c r="R23" s="58"/>
      <c r="S23" s="58"/>
      <c r="T23" s="9"/>
      <c r="U23" s="9"/>
      <c r="V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58"/>
      <c r="Q24" s="58"/>
      <c r="R24" s="58"/>
      <c r="S24" s="58"/>
      <c r="T24" s="9"/>
      <c r="U24" s="9"/>
      <c r="V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58"/>
      <c r="Q25" s="58"/>
      <c r="R25" s="58"/>
      <c r="S25" s="58"/>
      <c r="T25" s="9"/>
      <c r="U25" s="9"/>
      <c r="V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58"/>
      <c r="Q26" s="58"/>
      <c r="R26" s="58"/>
      <c r="S26" s="58"/>
      <c r="T26" s="9"/>
      <c r="U26" s="9"/>
      <c r="V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58"/>
      <c r="Q27" s="58"/>
      <c r="R27" s="58"/>
      <c r="S27" s="58"/>
      <c r="T27" s="9"/>
      <c r="U27" s="9"/>
      <c r="V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58"/>
      <c r="Q28" s="58"/>
      <c r="R28" s="58"/>
      <c r="S28" s="58"/>
      <c r="T28" s="9"/>
      <c r="U28" s="9"/>
      <c r="V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58"/>
      <c r="Q29" s="58"/>
      <c r="R29" s="58"/>
      <c r="S29" s="58"/>
      <c r="T29" s="9"/>
      <c r="U29" s="9"/>
      <c r="V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58"/>
      <c r="Q30" s="58"/>
      <c r="R30" s="58"/>
      <c r="S30" s="58"/>
      <c r="T30" s="9"/>
      <c r="U30" s="9"/>
      <c r="V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58"/>
      <c r="Q31" s="58"/>
      <c r="R31" s="58"/>
      <c r="S31" s="58"/>
      <c r="T31" s="9"/>
      <c r="U31" s="9"/>
      <c r="V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58"/>
      <c r="Q32" s="58"/>
      <c r="R32" s="58"/>
      <c r="S32" s="58"/>
      <c r="T32" s="9"/>
      <c r="U32" s="9"/>
      <c r="V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58"/>
      <c r="Q33" s="58"/>
      <c r="R33" s="58"/>
      <c r="S33" s="58"/>
      <c r="T33" s="9"/>
      <c r="U33" s="9"/>
      <c r="V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58"/>
      <c r="Q34" s="58"/>
      <c r="R34" s="58"/>
      <c r="S34" s="58"/>
      <c r="T34" s="9"/>
      <c r="U34" s="9"/>
      <c r="V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58"/>
      <c r="Q35" s="58"/>
      <c r="R35" s="58"/>
      <c r="S35" s="58"/>
      <c r="T35" s="9"/>
      <c r="U35" s="9"/>
      <c r="V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58"/>
      <c r="Q36" s="58"/>
      <c r="R36" s="58"/>
      <c r="S36" s="58"/>
      <c r="T36" s="9"/>
      <c r="U36" s="9"/>
      <c r="V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58"/>
      <c r="Q37" s="58"/>
      <c r="R37" s="58"/>
      <c r="S37" s="58"/>
      <c r="T37" s="9"/>
      <c r="U37" s="9"/>
      <c r="V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58"/>
      <c r="Q38" s="58"/>
      <c r="R38" s="58"/>
      <c r="S38" s="58"/>
      <c r="T38" s="9"/>
      <c r="U38" s="9"/>
      <c r="V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58"/>
      <c r="Q39" s="58"/>
      <c r="R39" s="58"/>
      <c r="S39" s="58"/>
      <c r="T39" s="9"/>
      <c r="U39" s="9"/>
      <c r="V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58"/>
      <c r="Q40" s="58"/>
      <c r="R40" s="58"/>
      <c r="S40" s="58"/>
      <c r="T40" s="9"/>
      <c r="U40" s="9"/>
      <c r="V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58"/>
      <c r="Q41" s="58"/>
      <c r="R41" s="58"/>
      <c r="S41" s="58"/>
      <c r="T41" s="9"/>
      <c r="U41" s="9"/>
      <c r="V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58"/>
      <c r="Q42" s="58"/>
      <c r="R42" s="58"/>
      <c r="S42" s="58"/>
      <c r="T42" s="9"/>
      <c r="U42" s="9"/>
      <c r="V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58"/>
      <c r="Q43" s="58"/>
      <c r="R43" s="58"/>
      <c r="S43" s="58"/>
      <c r="T43" s="9"/>
      <c r="U43" s="9"/>
      <c r="V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58"/>
      <c r="Q44" s="58"/>
      <c r="R44" s="58"/>
      <c r="S44" s="58"/>
      <c r="T44" s="9"/>
      <c r="U44" s="9"/>
      <c r="V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58"/>
      <c r="Q45" s="58"/>
      <c r="R45" s="58"/>
      <c r="S45" s="58"/>
      <c r="T45" s="9"/>
      <c r="U45" s="9"/>
      <c r="V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58"/>
      <c r="Q46" s="58"/>
      <c r="R46" s="58"/>
      <c r="S46" s="58"/>
      <c r="T46" s="9"/>
      <c r="U46" s="9"/>
      <c r="V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58"/>
      <c r="Q47" s="58"/>
      <c r="R47" s="58"/>
      <c r="S47" s="58"/>
      <c r="T47" s="9"/>
      <c r="U47" s="9"/>
      <c r="V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58"/>
      <c r="Q48" s="58"/>
      <c r="R48" s="58"/>
      <c r="S48" s="58"/>
      <c r="T48" s="9"/>
      <c r="U48" s="9"/>
      <c r="V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58"/>
      <c r="Q49" s="58"/>
      <c r="R49" s="58"/>
      <c r="S49" s="58"/>
      <c r="T49" s="9"/>
      <c r="U49" s="9"/>
      <c r="V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58"/>
      <c r="Q50" s="58"/>
      <c r="R50" s="58"/>
      <c r="S50" s="58"/>
      <c r="T50" s="9"/>
      <c r="U50" s="9"/>
      <c r="V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58"/>
      <c r="Q51" s="58"/>
      <c r="R51" s="58"/>
      <c r="S51" s="58"/>
      <c r="T51" s="9"/>
      <c r="U51" s="9"/>
      <c r="V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58"/>
      <c r="Q52" s="58"/>
      <c r="R52" s="58"/>
      <c r="S52" s="58"/>
      <c r="T52" s="9"/>
      <c r="U52" s="9"/>
      <c r="V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58"/>
      <c r="Q53" s="58"/>
      <c r="R53" s="58"/>
      <c r="S53" s="58"/>
      <c r="T53" s="9"/>
      <c r="U53" s="9"/>
      <c r="V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58"/>
      <c r="Q54" s="58"/>
      <c r="R54" s="58"/>
      <c r="S54" s="58"/>
      <c r="T54" s="9"/>
      <c r="U54" s="9"/>
      <c r="V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58"/>
      <c r="Q55" s="58"/>
      <c r="R55" s="58"/>
      <c r="S55" s="58"/>
      <c r="T55" s="9"/>
      <c r="U55" s="9"/>
      <c r="V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58"/>
      <c r="Q56" s="58"/>
      <c r="R56" s="58"/>
      <c r="S56" s="58"/>
      <c r="T56" s="9"/>
      <c r="U56" s="9"/>
      <c r="V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58"/>
      <c r="Q57" s="58"/>
      <c r="R57" s="58"/>
      <c r="S57" s="58"/>
      <c r="T57" s="9"/>
      <c r="U57" s="9"/>
      <c r="V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58"/>
      <c r="Q58" s="58"/>
      <c r="R58" s="58"/>
      <c r="S58" s="58"/>
      <c r="T58" s="9"/>
      <c r="U58" s="9"/>
      <c r="V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58"/>
      <c r="Q59" s="58"/>
      <c r="R59" s="58"/>
      <c r="S59" s="58"/>
      <c r="T59" s="9"/>
      <c r="U59" s="9"/>
      <c r="V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58"/>
      <c r="Q60" s="58"/>
      <c r="R60" s="58"/>
      <c r="S60" s="58"/>
      <c r="T60" s="9"/>
      <c r="U60" s="9"/>
      <c r="V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58"/>
      <c r="Q61" s="58"/>
      <c r="R61" s="58"/>
      <c r="S61" s="58"/>
      <c r="T61" s="9"/>
      <c r="U61" s="9"/>
      <c r="V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58"/>
      <c r="Q62" s="58"/>
      <c r="R62" s="58"/>
      <c r="S62" s="58"/>
      <c r="T62" s="9"/>
      <c r="U62" s="9"/>
      <c r="V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58"/>
      <c r="Q63" s="58"/>
      <c r="R63" s="58"/>
      <c r="S63" s="58"/>
      <c r="T63" s="9"/>
      <c r="U63" s="9"/>
      <c r="V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58"/>
      <c r="Q64" s="58"/>
      <c r="R64" s="58"/>
      <c r="S64" s="58"/>
      <c r="T64" s="9"/>
      <c r="U64" s="9"/>
      <c r="V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58"/>
      <c r="Q65" s="58"/>
      <c r="R65" s="58"/>
      <c r="S65" s="58"/>
      <c r="T65" s="9"/>
      <c r="U65" s="9"/>
      <c r="V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58"/>
      <c r="Q66" s="58"/>
      <c r="R66" s="58"/>
      <c r="S66" s="58"/>
      <c r="T66" s="9"/>
      <c r="U66" s="9"/>
      <c r="V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58"/>
      <c r="Q67" s="58"/>
      <c r="R67" s="58"/>
      <c r="S67" s="58"/>
      <c r="T67" s="9"/>
      <c r="U67" s="9"/>
      <c r="V67" s="9"/>
    </row>
    <row r="68" ht="15.75" customHeight="1">
      <c r="A68" s="9"/>
      <c r="B68" s="11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58"/>
      <c r="Q68" s="58"/>
      <c r="R68" s="58"/>
      <c r="S68" s="58"/>
      <c r="T68" s="9"/>
      <c r="U68" s="9"/>
      <c r="V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9"/>
      <c r="Q220" s="9"/>
      <c r="R220" s="9"/>
      <c r="S220" s="9"/>
      <c r="T220" s="9"/>
      <c r="U220" s="9"/>
      <c r="V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1.0"/>
    <col customWidth="1" min="3" max="3" width="11.89"/>
    <col customWidth="1" min="4" max="19" width="13.56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23</v>
      </c>
      <c r="C3" s="31">
        <f>SUM(D3:S3)</f>
        <v>430000</v>
      </c>
      <c r="D3" s="31">
        <f t="shared" ref="D3:S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50000</v>
      </c>
      <c r="M3" s="31">
        <f t="shared" si="1"/>
        <v>135000</v>
      </c>
      <c r="N3" s="31">
        <f t="shared" si="1"/>
        <v>145000</v>
      </c>
      <c r="O3" s="31">
        <f t="shared" si="1"/>
        <v>60000</v>
      </c>
      <c r="P3" s="31">
        <f t="shared" si="1"/>
        <v>40000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9"/>
      <c r="B4" s="59" t="s">
        <v>47</v>
      </c>
      <c r="C4" s="33">
        <f t="shared" ref="C4:C68" si="2">SUM(D4:S4)</f>
        <v>234000</v>
      </c>
      <c r="D4" s="60">
        <v>0.0</v>
      </c>
      <c r="E4" s="61">
        <v>0.0</v>
      </c>
      <c r="F4" s="61">
        <v>0.0</v>
      </c>
      <c r="G4" s="62"/>
      <c r="H4" s="61"/>
      <c r="I4" s="62"/>
      <c r="J4" s="63"/>
      <c r="K4" s="62"/>
      <c r="L4" s="62"/>
      <c r="M4" s="64">
        <v>80000.0</v>
      </c>
      <c r="N4" s="64">
        <v>90000.0</v>
      </c>
      <c r="O4" s="65">
        <v>42000.0</v>
      </c>
      <c r="P4" s="64">
        <v>22000.0</v>
      </c>
      <c r="Q4" s="55"/>
      <c r="R4" s="55"/>
      <c r="S4" s="55"/>
      <c r="T4" s="9"/>
      <c r="U4" s="9"/>
      <c r="V4" s="9"/>
      <c r="W4" s="9"/>
      <c r="X4" s="9"/>
      <c r="Y4" s="9"/>
      <c r="Z4" s="9"/>
    </row>
    <row r="5">
      <c r="A5" s="9"/>
      <c r="B5" s="66" t="s">
        <v>48</v>
      </c>
      <c r="C5" s="33">
        <f t="shared" si="2"/>
        <v>196000</v>
      </c>
      <c r="D5" s="10">
        <v>0.0</v>
      </c>
      <c r="E5" s="67">
        <v>0.0</v>
      </c>
      <c r="F5" s="67">
        <v>0.0</v>
      </c>
      <c r="G5" s="68"/>
      <c r="H5" s="67"/>
      <c r="I5" s="68"/>
      <c r="J5" s="68"/>
      <c r="K5" s="68"/>
      <c r="L5" s="69">
        <v>50000.0</v>
      </c>
      <c r="M5" s="69">
        <v>55000.0</v>
      </c>
      <c r="N5" s="69">
        <v>55000.0</v>
      </c>
      <c r="O5" s="69">
        <v>18000.0</v>
      </c>
      <c r="P5" s="69">
        <v>18000.0</v>
      </c>
      <c r="Q5" s="15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15"/>
      <c r="C6" s="33">
        <f t="shared" si="2"/>
        <v>0</v>
      </c>
      <c r="D6" s="15"/>
      <c r="E6" s="14"/>
      <c r="F6" s="14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9"/>
      <c r="U6" s="9"/>
      <c r="V6" s="9"/>
      <c r="W6" s="9"/>
      <c r="X6" s="9"/>
      <c r="Y6" s="9"/>
      <c r="Z6" s="9"/>
    </row>
    <row r="7">
      <c r="A7" s="9"/>
      <c r="B7" s="10"/>
      <c r="C7" s="33">
        <f t="shared" si="2"/>
        <v>0</v>
      </c>
      <c r="D7" s="15"/>
      <c r="E7" s="15"/>
      <c r="F7" s="15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15"/>
      <c r="C8" s="33">
        <f t="shared" si="2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15"/>
      <c r="C9" s="33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15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4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8.67"/>
    <col customWidth="1" min="3" max="3" width="14.89"/>
    <col customWidth="1" min="4" max="15" width="13.56"/>
    <col customWidth="1" min="16" max="16" width="14.67"/>
    <col customWidth="1" min="17" max="19" width="13.56"/>
    <col customWidth="1" min="20" max="26" width="8.33"/>
  </cols>
  <sheetData>
    <row r="1">
      <c r="A1" s="70" t="s">
        <v>49</v>
      </c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50</v>
      </c>
      <c r="C3" s="31">
        <f t="shared" ref="C3:C12" si="2">SUM(D3:S3)</f>
        <v>253483.9</v>
      </c>
      <c r="D3" s="31">
        <f t="shared" ref="D3:S3" si="1">SUM(D4:D169)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126060.74</v>
      </c>
      <c r="M3" s="31">
        <f t="shared" si="1"/>
        <v>72944.7</v>
      </c>
      <c r="N3" s="31">
        <f t="shared" si="1"/>
        <v>38198.76</v>
      </c>
      <c r="O3" s="31">
        <f t="shared" si="1"/>
        <v>16279.7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9"/>
      <c r="B4" s="71" t="s">
        <v>51</v>
      </c>
      <c r="C4" s="33">
        <f t="shared" si="2"/>
        <v>3923.96</v>
      </c>
      <c r="D4" s="72"/>
      <c r="E4" s="72"/>
      <c r="F4" s="72"/>
      <c r="G4" s="72"/>
      <c r="H4" s="73"/>
      <c r="I4" s="73"/>
      <c r="J4" s="73"/>
      <c r="K4" s="73"/>
      <c r="L4" s="73">
        <v>1028.55</v>
      </c>
      <c r="M4" s="73">
        <f>3923.96-L4</f>
        <v>2895.41</v>
      </c>
      <c r="N4" s="73"/>
      <c r="O4" s="73"/>
      <c r="P4" s="73"/>
      <c r="Q4" s="73"/>
      <c r="R4" s="15"/>
      <c r="S4" s="15"/>
      <c r="T4" s="9"/>
      <c r="U4" s="9"/>
      <c r="V4" s="9"/>
      <c r="W4" s="9"/>
      <c r="X4" s="9"/>
      <c r="Y4" s="9"/>
      <c r="Z4" s="9"/>
    </row>
    <row r="5">
      <c r="A5" s="9"/>
      <c r="B5" s="74" t="s">
        <v>52</v>
      </c>
      <c r="C5" s="33">
        <f t="shared" si="2"/>
        <v>379.42</v>
      </c>
      <c r="D5" s="72"/>
      <c r="E5" s="72"/>
      <c r="F5" s="72"/>
      <c r="G5" s="72"/>
      <c r="H5" s="73"/>
      <c r="I5" s="73"/>
      <c r="J5" s="73"/>
      <c r="K5" s="73"/>
      <c r="L5" s="73">
        <v>379.42</v>
      </c>
      <c r="M5" s="73"/>
      <c r="N5" s="73"/>
      <c r="O5" s="73"/>
      <c r="P5" s="73"/>
      <c r="Q5" s="73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74" t="s">
        <v>53</v>
      </c>
      <c r="C6" s="33">
        <f t="shared" si="2"/>
        <v>2165.67</v>
      </c>
      <c r="D6" s="72"/>
      <c r="E6" s="72"/>
      <c r="F6" s="72"/>
      <c r="G6" s="72"/>
      <c r="H6" s="73"/>
      <c r="I6" s="73"/>
      <c r="J6" s="73"/>
      <c r="K6" s="73"/>
      <c r="L6" s="73">
        <v>664.75</v>
      </c>
      <c r="M6" s="73">
        <f>1513.36-L6</f>
        <v>848.61</v>
      </c>
      <c r="N6" s="73">
        <f>2165.67-M6-L6</f>
        <v>652.31</v>
      </c>
      <c r="O6" s="73"/>
      <c r="P6" s="73"/>
      <c r="Q6" s="73"/>
      <c r="R6" s="15"/>
      <c r="S6" s="15"/>
      <c r="T6" s="9"/>
      <c r="U6" s="9"/>
      <c r="V6" s="9"/>
      <c r="W6" s="9"/>
      <c r="X6" s="9"/>
      <c r="Y6" s="9"/>
      <c r="Z6" s="9"/>
    </row>
    <row r="7">
      <c r="A7" s="9"/>
      <c r="B7" s="74" t="s">
        <v>54</v>
      </c>
      <c r="C7" s="33">
        <f t="shared" si="2"/>
        <v>389.5</v>
      </c>
      <c r="D7" s="72"/>
      <c r="E7" s="72"/>
      <c r="F7" s="72"/>
      <c r="G7" s="72"/>
      <c r="H7" s="73"/>
      <c r="I7" s="73"/>
      <c r="J7" s="73"/>
      <c r="K7" s="73"/>
      <c r="L7" s="73">
        <v>389.5</v>
      </c>
      <c r="M7" s="73"/>
      <c r="N7" s="73"/>
      <c r="O7" s="73"/>
      <c r="P7" s="73"/>
      <c r="Q7" s="73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71" t="s">
        <v>55</v>
      </c>
      <c r="C8" s="33">
        <f t="shared" si="2"/>
        <v>137.82</v>
      </c>
      <c r="D8" s="72"/>
      <c r="E8" s="72"/>
      <c r="F8" s="72"/>
      <c r="G8" s="72"/>
      <c r="H8" s="73"/>
      <c r="I8" s="73"/>
      <c r="J8" s="73"/>
      <c r="K8" s="73"/>
      <c r="L8" s="73">
        <v>137.82</v>
      </c>
      <c r="M8" s="73"/>
      <c r="N8" s="73"/>
      <c r="O8" s="73"/>
      <c r="P8" s="73"/>
      <c r="Q8" s="73"/>
      <c r="R8" s="15"/>
      <c r="S8" s="15"/>
      <c r="T8" s="9"/>
      <c r="U8" s="9"/>
      <c r="V8" s="9"/>
      <c r="W8" s="9"/>
      <c r="X8" s="9"/>
      <c r="Y8" s="9"/>
      <c r="Z8" s="9"/>
    </row>
    <row r="9">
      <c r="A9" s="18"/>
      <c r="B9" s="71" t="s">
        <v>56</v>
      </c>
      <c r="C9" s="33">
        <f t="shared" si="2"/>
        <v>29464.46</v>
      </c>
      <c r="D9" s="72"/>
      <c r="E9" s="72"/>
      <c r="F9" s="72"/>
      <c r="G9" s="72"/>
      <c r="H9" s="75"/>
      <c r="I9" s="73"/>
      <c r="J9" s="73"/>
      <c r="K9" s="73"/>
      <c r="L9" s="73">
        <v>5668.45</v>
      </c>
      <c r="M9" s="73">
        <f>13962.84-L9</f>
        <v>8294.39</v>
      </c>
      <c r="N9" s="73">
        <f>21205.36-M9-L9</f>
        <v>7242.52</v>
      </c>
      <c r="O9" s="73">
        <f>29464.46-N9-M9-L9</f>
        <v>8259.1</v>
      </c>
      <c r="P9" s="73"/>
      <c r="Q9" s="73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74" t="s">
        <v>57</v>
      </c>
      <c r="C10" s="33">
        <f t="shared" si="2"/>
        <v>220</v>
      </c>
      <c r="D10" s="72"/>
      <c r="E10" s="72"/>
      <c r="F10" s="72"/>
      <c r="G10" s="72"/>
      <c r="H10" s="73"/>
      <c r="I10" s="73"/>
      <c r="J10" s="73"/>
      <c r="K10" s="73"/>
      <c r="L10" s="73">
        <v>220.0</v>
      </c>
      <c r="M10" s="73"/>
      <c r="N10" s="73"/>
      <c r="O10" s="73"/>
      <c r="P10" s="73"/>
      <c r="Q10" s="73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74" t="s">
        <v>58</v>
      </c>
      <c r="C11" s="33">
        <f t="shared" si="2"/>
        <v>4516</v>
      </c>
      <c r="D11" s="72"/>
      <c r="E11" s="72"/>
      <c r="F11" s="72"/>
      <c r="G11" s="72"/>
      <c r="H11" s="73"/>
      <c r="I11" s="73"/>
      <c r="J11" s="73"/>
      <c r="K11" s="73"/>
      <c r="L11" s="73">
        <v>2679.0</v>
      </c>
      <c r="M11" s="73">
        <v>1837.0</v>
      </c>
      <c r="N11" s="73"/>
      <c r="O11" s="73"/>
      <c r="P11" s="73"/>
      <c r="Q11" s="73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74" t="s">
        <v>59</v>
      </c>
      <c r="C12" s="33">
        <f t="shared" si="2"/>
        <v>567.3</v>
      </c>
      <c r="D12" s="72"/>
      <c r="E12" s="72"/>
      <c r="F12" s="72"/>
      <c r="G12" s="72"/>
      <c r="H12" s="73"/>
      <c r="I12" s="73"/>
      <c r="J12" s="73"/>
      <c r="K12" s="73"/>
      <c r="L12" s="73">
        <v>567.3</v>
      </c>
      <c r="M12" s="73"/>
      <c r="N12" s="73"/>
      <c r="O12" s="73"/>
      <c r="P12" s="73"/>
      <c r="Q12" s="73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74" t="s">
        <v>60</v>
      </c>
      <c r="C13" s="33">
        <f t="shared" ref="C13:C62" si="3">SUM(D13:S13)</f>
        <v>1135.68</v>
      </c>
      <c r="D13" s="15"/>
      <c r="E13" s="14"/>
      <c r="F13" s="14"/>
      <c r="G13" s="14"/>
      <c r="H13" s="14"/>
      <c r="I13" s="15"/>
      <c r="J13" s="10"/>
      <c r="K13" s="10"/>
      <c r="L13" s="10">
        <v>1135.68</v>
      </c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74" t="s">
        <v>61</v>
      </c>
      <c r="C14" s="33">
        <f t="shared" si="3"/>
        <v>1610.4</v>
      </c>
      <c r="D14" s="15"/>
      <c r="E14" s="14"/>
      <c r="F14" s="14"/>
      <c r="G14" s="14"/>
      <c r="H14" s="14"/>
      <c r="I14" s="15"/>
      <c r="J14" s="10"/>
      <c r="K14" s="10"/>
      <c r="L14" s="10">
        <v>1610.4</v>
      </c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76" t="s">
        <v>62</v>
      </c>
      <c r="C15" s="33">
        <f t="shared" si="3"/>
        <v>7394.8</v>
      </c>
      <c r="D15" s="15"/>
      <c r="E15" s="14"/>
      <c r="F15" s="14"/>
      <c r="G15" s="14"/>
      <c r="H15" s="14"/>
      <c r="I15" s="15"/>
      <c r="J15" s="10"/>
      <c r="K15" s="10"/>
      <c r="L15" s="10">
        <v>3343.14</v>
      </c>
      <c r="M15" s="15">
        <f>7394.8-L15</f>
        <v>4051.66</v>
      </c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74" t="s">
        <v>63</v>
      </c>
      <c r="C16" s="33">
        <f t="shared" si="3"/>
        <v>400</v>
      </c>
      <c r="D16" s="15"/>
      <c r="E16" s="14"/>
      <c r="F16" s="14"/>
      <c r="G16" s="77"/>
      <c r="H16" s="14"/>
      <c r="I16" s="15"/>
      <c r="J16" s="10"/>
      <c r="K16" s="10"/>
      <c r="L16" s="10">
        <v>400.0</v>
      </c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74" t="s">
        <v>64</v>
      </c>
      <c r="C17" s="33">
        <f t="shared" si="3"/>
        <v>1253.81</v>
      </c>
      <c r="D17" s="15"/>
      <c r="E17" s="14"/>
      <c r="F17" s="14"/>
      <c r="G17" s="77"/>
      <c r="H17" s="14"/>
      <c r="I17" s="15"/>
      <c r="J17" s="10"/>
      <c r="K17" s="10"/>
      <c r="L17" s="10">
        <v>176.46</v>
      </c>
      <c r="M17" s="10">
        <v>1077.35</v>
      </c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76" t="s">
        <v>65</v>
      </c>
      <c r="C18" s="33">
        <f t="shared" si="3"/>
        <v>10078.37</v>
      </c>
      <c r="D18" s="15"/>
      <c r="E18" s="14"/>
      <c r="F18" s="14"/>
      <c r="G18" s="15"/>
      <c r="H18" s="15"/>
      <c r="I18" s="15"/>
      <c r="J18" s="10"/>
      <c r="K18" s="10"/>
      <c r="L18" s="10">
        <v>4888.6</v>
      </c>
      <c r="M18" s="15">
        <f>10047.44-L18</f>
        <v>5158.84</v>
      </c>
      <c r="N18" s="10">
        <v>30.93</v>
      </c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74" t="s">
        <v>66</v>
      </c>
      <c r="C19" s="33">
        <f t="shared" si="3"/>
        <v>70</v>
      </c>
      <c r="D19" s="15"/>
      <c r="E19" s="14"/>
      <c r="F19" s="14"/>
      <c r="G19" s="14"/>
      <c r="H19" s="14"/>
      <c r="I19" s="14"/>
      <c r="J19" s="10"/>
      <c r="K19" s="15"/>
      <c r="L19" s="10">
        <v>70.0</v>
      </c>
      <c r="M19" s="10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76" t="s">
        <v>67</v>
      </c>
      <c r="C20" s="33">
        <f t="shared" si="3"/>
        <v>2725.97</v>
      </c>
      <c r="D20" s="15"/>
      <c r="E20" s="14"/>
      <c r="F20" s="14"/>
      <c r="G20" s="14"/>
      <c r="H20" s="14"/>
      <c r="I20" s="14"/>
      <c r="J20" s="10"/>
      <c r="K20" s="15"/>
      <c r="L20" s="10"/>
      <c r="M20" s="10">
        <v>863.76</v>
      </c>
      <c r="N20" s="10">
        <v>1862.21</v>
      </c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76" t="s">
        <v>68</v>
      </c>
      <c r="C21" s="33">
        <f t="shared" si="3"/>
        <v>2543.84</v>
      </c>
      <c r="D21" s="15"/>
      <c r="E21" s="14"/>
      <c r="F21" s="14"/>
      <c r="G21" s="14"/>
      <c r="H21" s="14"/>
      <c r="I21" s="15"/>
      <c r="J21" s="10"/>
      <c r="K21" s="10"/>
      <c r="L21" s="10">
        <v>2543.84</v>
      </c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76" t="s">
        <v>69</v>
      </c>
      <c r="C22" s="33">
        <f t="shared" si="3"/>
        <v>2382.6</v>
      </c>
      <c r="D22" s="15"/>
      <c r="E22" s="14"/>
      <c r="F22" s="14"/>
      <c r="G22" s="14"/>
      <c r="H22" s="14"/>
      <c r="I22" s="15"/>
      <c r="J22" s="10"/>
      <c r="K22" s="10"/>
      <c r="L22" s="10">
        <v>1128.6</v>
      </c>
      <c r="M22" s="10">
        <v>1254.0</v>
      </c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74" t="s">
        <v>70</v>
      </c>
      <c r="C23" s="33">
        <f t="shared" si="3"/>
        <v>1876.16</v>
      </c>
      <c r="D23" s="15"/>
      <c r="E23" s="14"/>
      <c r="F23" s="14"/>
      <c r="G23" s="14"/>
      <c r="H23" s="14"/>
      <c r="I23" s="15"/>
      <c r="J23" s="10"/>
      <c r="K23" s="10"/>
      <c r="L23" s="10">
        <f>1876.16-K23</f>
        <v>1876.16</v>
      </c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74" t="s">
        <v>71</v>
      </c>
      <c r="C24" s="33">
        <f t="shared" si="3"/>
        <v>5868.89</v>
      </c>
      <c r="D24" s="15"/>
      <c r="E24" s="14"/>
      <c r="F24" s="14"/>
      <c r="G24" s="14"/>
      <c r="H24" s="14"/>
      <c r="I24" s="15"/>
      <c r="J24" s="10"/>
      <c r="K24" s="10"/>
      <c r="L24" s="10">
        <v>3126.38</v>
      </c>
      <c r="M24" s="10">
        <f>5440.35-L24</f>
        <v>2313.97</v>
      </c>
      <c r="N24" s="10">
        <v>428.54</v>
      </c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74" t="s">
        <v>72</v>
      </c>
      <c r="C25" s="33">
        <f t="shared" si="3"/>
        <v>51.48</v>
      </c>
      <c r="D25" s="15"/>
      <c r="E25" s="14"/>
      <c r="F25" s="14"/>
      <c r="G25" s="14"/>
      <c r="H25" s="14"/>
      <c r="I25" s="15"/>
      <c r="J25" s="10"/>
      <c r="K25" s="10"/>
      <c r="L25" s="10">
        <v>51.48</v>
      </c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74" t="s">
        <v>73</v>
      </c>
      <c r="C26" s="33">
        <f t="shared" si="3"/>
        <v>4026</v>
      </c>
      <c r="D26" s="15"/>
      <c r="E26" s="14"/>
      <c r="F26" s="14"/>
      <c r="G26" s="14"/>
      <c r="H26" s="14"/>
      <c r="I26" s="15"/>
      <c r="J26" s="10"/>
      <c r="K26" s="10"/>
      <c r="L26" s="10">
        <v>4026.0</v>
      </c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74" t="s">
        <v>74</v>
      </c>
      <c r="C27" s="33">
        <f t="shared" si="3"/>
        <v>1908.08</v>
      </c>
      <c r="D27" s="15"/>
      <c r="E27" s="14"/>
      <c r="F27" s="14"/>
      <c r="G27" s="14"/>
      <c r="H27" s="14"/>
      <c r="I27" s="15"/>
      <c r="J27" s="10"/>
      <c r="K27" s="10"/>
      <c r="L27" s="10">
        <v>954.04</v>
      </c>
      <c r="M27" s="10">
        <v>954.04</v>
      </c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74" t="s">
        <v>75</v>
      </c>
      <c r="C28" s="33">
        <f t="shared" si="3"/>
        <v>684.42</v>
      </c>
      <c r="D28" s="15"/>
      <c r="E28" s="14"/>
      <c r="F28" s="14"/>
      <c r="G28" s="14"/>
      <c r="H28" s="14"/>
      <c r="I28" s="15"/>
      <c r="J28" s="10"/>
      <c r="K28" s="10"/>
      <c r="L28" s="10">
        <v>684.42</v>
      </c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76" t="s">
        <v>76</v>
      </c>
      <c r="C29" s="33">
        <f t="shared" si="3"/>
        <v>12871.46</v>
      </c>
      <c r="D29" s="15"/>
      <c r="E29" s="14"/>
      <c r="F29" s="14"/>
      <c r="G29" s="14"/>
      <c r="H29" s="14"/>
      <c r="I29" s="15"/>
      <c r="J29" s="10"/>
      <c r="K29" s="10"/>
      <c r="L29" s="10">
        <v>11695.82</v>
      </c>
      <c r="M29" s="10">
        <v>1175.64</v>
      </c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76" t="s">
        <v>77</v>
      </c>
      <c r="C30" s="33">
        <f t="shared" si="3"/>
        <v>79.3</v>
      </c>
      <c r="D30" s="15"/>
      <c r="E30" s="14"/>
      <c r="F30" s="14"/>
      <c r="G30" s="77"/>
      <c r="H30" s="14"/>
      <c r="I30" s="15"/>
      <c r="J30" s="10"/>
      <c r="K30" s="10"/>
      <c r="L30" s="10">
        <v>79.3</v>
      </c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74" t="s">
        <v>78</v>
      </c>
      <c r="C31" s="33">
        <f t="shared" si="3"/>
        <v>17432.97</v>
      </c>
      <c r="D31" s="15"/>
      <c r="E31" s="14"/>
      <c r="F31" s="14"/>
      <c r="G31" s="77"/>
      <c r="H31" s="14"/>
      <c r="I31" s="15"/>
      <c r="J31" s="10"/>
      <c r="L31" s="10">
        <v>2102.74</v>
      </c>
      <c r="M31" s="10">
        <v>4183.28</v>
      </c>
      <c r="N31" s="10">
        <v>5566.85</v>
      </c>
      <c r="O31" s="10">
        <v>5580.1</v>
      </c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74" t="s">
        <v>79</v>
      </c>
      <c r="C32" s="33">
        <f t="shared" si="3"/>
        <v>33.8</v>
      </c>
      <c r="D32" s="15"/>
      <c r="E32" s="14"/>
      <c r="F32" s="14"/>
      <c r="G32" s="14"/>
      <c r="H32" s="14"/>
      <c r="I32" s="15"/>
      <c r="J32" s="10"/>
      <c r="K32" s="10"/>
      <c r="L32" s="10">
        <v>33.8</v>
      </c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74" t="s">
        <v>80</v>
      </c>
      <c r="C33" s="33">
        <f t="shared" si="3"/>
        <v>1262.7</v>
      </c>
      <c r="D33" s="15"/>
      <c r="E33" s="14"/>
      <c r="F33" s="14"/>
      <c r="G33" s="14"/>
      <c r="H33" s="14"/>
      <c r="I33" s="14"/>
      <c r="J33" s="10"/>
      <c r="L33" s="10">
        <v>1218.78</v>
      </c>
      <c r="M33" s="10">
        <v>43.92</v>
      </c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74" t="s">
        <v>81</v>
      </c>
      <c r="C34" s="33">
        <f t="shared" si="3"/>
        <v>33</v>
      </c>
      <c r="D34" s="15"/>
      <c r="E34" s="14"/>
      <c r="F34" s="14"/>
      <c r="G34" s="14"/>
      <c r="H34" s="15"/>
      <c r="I34" s="15"/>
      <c r="J34" s="10"/>
      <c r="K34" s="32"/>
      <c r="L34" s="10">
        <v>33.0</v>
      </c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74" t="s">
        <v>82</v>
      </c>
      <c r="C35" s="33">
        <f t="shared" si="3"/>
        <v>934.89</v>
      </c>
      <c r="D35" s="15"/>
      <c r="E35" s="14"/>
      <c r="F35" s="14"/>
      <c r="G35" s="14"/>
      <c r="H35" s="14"/>
      <c r="I35" s="15"/>
      <c r="J35" s="10"/>
      <c r="K35" s="10"/>
      <c r="L35" s="10">
        <v>934.89</v>
      </c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74" t="s">
        <v>83</v>
      </c>
      <c r="C36" s="33">
        <f t="shared" si="3"/>
        <v>365.17</v>
      </c>
      <c r="D36" s="15"/>
      <c r="E36" s="14"/>
      <c r="F36" s="14"/>
      <c r="G36" s="14"/>
      <c r="H36" s="14"/>
      <c r="I36" s="15"/>
      <c r="J36" s="10"/>
      <c r="K36" s="10"/>
      <c r="L36" s="10">
        <v>217.23</v>
      </c>
      <c r="M36" s="10">
        <v>147.94</v>
      </c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74" t="s">
        <v>84</v>
      </c>
      <c r="C37" s="33">
        <f t="shared" si="3"/>
        <v>4374.94</v>
      </c>
      <c r="D37" s="15"/>
      <c r="E37" s="14"/>
      <c r="F37" s="14"/>
      <c r="G37" s="14"/>
      <c r="H37" s="14"/>
      <c r="I37" s="15"/>
      <c r="K37" s="10"/>
      <c r="L37" s="10">
        <v>4374.94</v>
      </c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74" t="s">
        <v>85</v>
      </c>
      <c r="C38" s="33">
        <f t="shared" si="3"/>
        <v>976</v>
      </c>
      <c r="D38" s="15"/>
      <c r="E38" s="14"/>
      <c r="F38" s="14"/>
      <c r="G38" s="14"/>
      <c r="H38" s="14"/>
      <c r="I38" s="15"/>
      <c r="J38" s="10"/>
      <c r="K38" s="10"/>
      <c r="L38" s="10">
        <v>976.0</v>
      </c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74" t="s">
        <v>86</v>
      </c>
      <c r="C39" s="33">
        <f t="shared" si="3"/>
        <v>32112.04</v>
      </c>
      <c r="D39" s="15"/>
      <c r="E39" s="14"/>
      <c r="F39" s="14"/>
      <c r="G39" s="14"/>
      <c r="H39" s="14"/>
      <c r="I39" s="15"/>
      <c r="J39" s="10"/>
      <c r="K39" s="10"/>
      <c r="L39" s="10">
        <v>13974.44</v>
      </c>
      <c r="M39" s="15">
        <f>32112.04-L39</f>
        <v>18137.6</v>
      </c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74" t="s">
        <v>87</v>
      </c>
      <c r="C40" s="33">
        <f t="shared" si="3"/>
        <v>7671.05</v>
      </c>
      <c r="D40" s="15"/>
      <c r="E40" s="14"/>
      <c r="F40" s="14"/>
      <c r="G40" s="14"/>
      <c r="H40" s="14"/>
      <c r="I40" s="15"/>
      <c r="J40" s="10"/>
      <c r="K40" s="10"/>
      <c r="L40" s="15">
        <f>4741.02-J40</f>
        <v>4741.02</v>
      </c>
      <c r="M40" s="10">
        <f>6513.38-L40</f>
        <v>1772.36</v>
      </c>
      <c r="N40" s="15">
        <f>7671.05-L40-M40</f>
        <v>1157.67</v>
      </c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74" t="s">
        <v>88</v>
      </c>
      <c r="C41" s="33">
        <f t="shared" si="3"/>
        <v>14638.73</v>
      </c>
      <c r="D41" s="15"/>
      <c r="E41" s="14"/>
      <c r="F41" s="14"/>
      <c r="G41" s="14"/>
      <c r="H41" s="14"/>
      <c r="I41" s="15"/>
      <c r="J41" s="10"/>
      <c r="K41" s="10"/>
      <c r="L41" s="10">
        <v>13821.33</v>
      </c>
      <c r="M41" s="15">
        <f>14638.73-L41</f>
        <v>817.4</v>
      </c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74" t="s">
        <v>89</v>
      </c>
      <c r="C42" s="33">
        <f t="shared" si="3"/>
        <v>365.71</v>
      </c>
      <c r="D42" s="15"/>
      <c r="E42" s="14"/>
      <c r="F42" s="14"/>
      <c r="G42" s="14"/>
      <c r="H42" s="14"/>
      <c r="I42" s="15"/>
      <c r="J42" s="10"/>
      <c r="K42" s="10"/>
      <c r="L42" s="10">
        <v>365.71</v>
      </c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74" t="s">
        <v>90</v>
      </c>
      <c r="C43" s="33">
        <f t="shared" si="3"/>
        <v>68.72</v>
      </c>
      <c r="D43" s="15"/>
      <c r="E43" s="14"/>
      <c r="F43" s="14"/>
      <c r="G43" s="14"/>
      <c r="H43" s="14"/>
      <c r="I43" s="15"/>
      <c r="J43" s="10"/>
      <c r="K43" s="10"/>
      <c r="L43" s="10">
        <v>68.72</v>
      </c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74" t="s">
        <v>91</v>
      </c>
      <c r="C44" s="33">
        <f t="shared" si="3"/>
        <v>1702</v>
      </c>
      <c r="D44" s="15"/>
      <c r="E44" s="14"/>
      <c r="F44" s="14"/>
      <c r="G44" s="14"/>
      <c r="H44" s="14"/>
      <c r="I44" s="15"/>
      <c r="J44" s="10"/>
      <c r="K44" s="10"/>
      <c r="L44" s="10">
        <v>1702.0</v>
      </c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74" t="s">
        <v>92</v>
      </c>
      <c r="C45" s="33">
        <f t="shared" si="3"/>
        <v>244</v>
      </c>
      <c r="D45" s="15"/>
      <c r="E45" s="14"/>
      <c r="F45" s="14"/>
      <c r="G45" s="14"/>
      <c r="H45" s="14"/>
      <c r="I45" s="15"/>
      <c r="J45" s="10"/>
      <c r="K45" s="10"/>
      <c r="L45" s="10">
        <v>244.0</v>
      </c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76" t="s">
        <v>93</v>
      </c>
      <c r="C46" s="33">
        <f t="shared" si="3"/>
        <v>29299.48</v>
      </c>
      <c r="D46" s="15"/>
      <c r="E46" s="14"/>
      <c r="F46" s="14"/>
      <c r="G46" s="14"/>
      <c r="H46" s="14"/>
      <c r="I46" s="15"/>
      <c r="J46" s="10"/>
      <c r="K46" s="10"/>
      <c r="L46" s="10">
        <v>8314.1</v>
      </c>
      <c r="M46" s="15">
        <f>15188.93-L46</f>
        <v>6874.83</v>
      </c>
      <c r="N46" s="15">
        <f>+29299.48-L46-M46</f>
        <v>14110.55</v>
      </c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74" t="s">
        <v>94</v>
      </c>
      <c r="C47" s="33">
        <f t="shared" si="3"/>
        <v>915</v>
      </c>
      <c r="D47" s="15"/>
      <c r="E47" s="14"/>
      <c r="F47" s="14"/>
      <c r="G47" s="14"/>
      <c r="H47" s="14"/>
      <c r="I47" s="14"/>
      <c r="J47" s="10"/>
      <c r="K47" s="10"/>
      <c r="L47" s="10">
        <v>915.0</v>
      </c>
      <c r="M47" s="14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74" t="s">
        <v>95</v>
      </c>
      <c r="C48" s="33">
        <f t="shared" si="3"/>
        <v>654.41</v>
      </c>
      <c r="D48" s="15"/>
      <c r="E48" s="14"/>
      <c r="F48" s="14"/>
      <c r="G48" s="14"/>
      <c r="H48" s="14"/>
      <c r="I48" s="14"/>
      <c r="J48" s="10"/>
      <c r="K48" s="10"/>
      <c r="L48" s="10">
        <v>654.41</v>
      </c>
      <c r="M48" s="14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74" t="s">
        <v>96</v>
      </c>
      <c r="C49" s="33">
        <f t="shared" si="3"/>
        <v>4403.06</v>
      </c>
      <c r="D49" s="15"/>
      <c r="E49" s="14"/>
      <c r="F49" s="14"/>
      <c r="G49" s="14"/>
      <c r="H49" s="14"/>
      <c r="I49" s="14"/>
      <c r="K49" s="10"/>
      <c r="L49" s="10">
        <v>2434.55</v>
      </c>
      <c r="M49" s="15">
        <f>4403.06-L49</f>
        <v>1968.51</v>
      </c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74" t="s">
        <v>97</v>
      </c>
      <c r="C50" s="33">
        <f t="shared" si="3"/>
        <v>514.11</v>
      </c>
      <c r="D50" s="15"/>
      <c r="E50" s="14"/>
      <c r="F50" s="14"/>
      <c r="G50" s="14"/>
      <c r="H50" s="14"/>
      <c r="I50" s="15"/>
      <c r="J50" s="10"/>
      <c r="K50" s="10"/>
      <c r="L50" s="10">
        <v>514.11</v>
      </c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74" t="s">
        <v>98</v>
      </c>
      <c r="C51" s="33">
        <f t="shared" si="3"/>
        <v>378.2</v>
      </c>
      <c r="D51" s="15"/>
      <c r="E51" s="14"/>
      <c r="F51" s="14"/>
      <c r="G51" s="77"/>
      <c r="H51" s="14"/>
      <c r="I51" s="15"/>
      <c r="K51" s="10"/>
      <c r="L51" s="10">
        <v>378.2</v>
      </c>
      <c r="M51" s="14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74" t="s">
        <v>99</v>
      </c>
      <c r="C52" s="33">
        <f t="shared" si="3"/>
        <v>10357.73</v>
      </c>
      <c r="D52" s="15"/>
      <c r="E52" s="14"/>
      <c r="F52" s="14"/>
      <c r="G52" s="77"/>
      <c r="H52" s="14"/>
      <c r="I52" s="15"/>
      <c r="J52" s="10"/>
      <c r="K52" s="10"/>
      <c r="L52" s="10">
        <v>3437.62</v>
      </c>
      <c r="M52" s="10">
        <v>3299.41</v>
      </c>
      <c r="N52" s="10">
        <v>3620.7</v>
      </c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74" t="s">
        <v>100</v>
      </c>
      <c r="C53" s="33">
        <f t="shared" si="3"/>
        <v>4404.2</v>
      </c>
      <c r="D53" s="15"/>
      <c r="E53" s="14"/>
      <c r="F53" s="14"/>
      <c r="G53" s="14"/>
      <c r="H53" s="14"/>
      <c r="I53" s="14"/>
      <c r="J53" s="10"/>
      <c r="K53" s="10"/>
      <c r="L53" s="10">
        <v>4404.2</v>
      </c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74" t="s">
        <v>101</v>
      </c>
      <c r="C54" s="33">
        <f t="shared" si="3"/>
        <v>2292.09</v>
      </c>
      <c r="D54" s="15"/>
      <c r="E54" s="14"/>
      <c r="F54" s="14"/>
      <c r="G54" s="14"/>
      <c r="H54" s="14"/>
      <c r="I54" s="14"/>
      <c r="J54" s="10"/>
      <c r="K54" s="10"/>
      <c r="L54" s="10">
        <v>2292.09</v>
      </c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74" t="s">
        <v>102</v>
      </c>
      <c r="C55" s="33">
        <f t="shared" si="3"/>
        <v>120</v>
      </c>
      <c r="D55" s="15"/>
      <c r="E55" s="14"/>
      <c r="F55" s="14"/>
      <c r="G55" s="14"/>
      <c r="H55" s="14"/>
      <c r="I55" s="14"/>
      <c r="J55" s="10"/>
      <c r="K55" s="10"/>
      <c r="L55" s="10">
        <v>120.0</v>
      </c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74" t="s">
        <v>103</v>
      </c>
      <c r="C56" s="33">
        <f t="shared" si="3"/>
        <v>915</v>
      </c>
      <c r="D56" s="15"/>
      <c r="E56" s="14"/>
      <c r="F56" s="14"/>
      <c r="G56" s="14"/>
      <c r="H56" s="14"/>
      <c r="I56" s="14"/>
      <c r="J56" s="10"/>
      <c r="K56" s="10"/>
      <c r="L56" s="10">
        <v>915.0</v>
      </c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78"/>
      <c r="B57" s="74" t="s">
        <v>104</v>
      </c>
      <c r="C57" s="33">
        <f t="shared" si="3"/>
        <v>1779.37</v>
      </c>
      <c r="D57" s="79"/>
      <c r="E57" s="79"/>
      <c r="F57" s="79"/>
      <c r="G57" s="79"/>
      <c r="H57" s="79"/>
      <c r="I57" s="79"/>
      <c r="J57" s="68"/>
      <c r="K57" s="10"/>
      <c r="L57" s="68">
        <v>1659.81</v>
      </c>
      <c r="M57" s="68">
        <v>119.56</v>
      </c>
      <c r="N57" s="79"/>
      <c r="O57" s="79"/>
      <c r="P57" s="79"/>
      <c r="Q57" s="79"/>
      <c r="R57" s="79"/>
      <c r="S57" s="79"/>
      <c r="T57" s="78"/>
      <c r="U57" s="78"/>
      <c r="V57" s="78"/>
      <c r="W57" s="78"/>
      <c r="X57" s="78"/>
      <c r="Y57" s="78"/>
      <c r="Z57" s="78"/>
    </row>
    <row r="58" ht="15.75" customHeight="1">
      <c r="A58" s="9"/>
      <c r="B58" s="74" t="s">
        <v>105</v>
      </c>
      <c r="C58" s="33">
        <f t="shared" si="3"/>
        <v>439.2</v>
      </c>
      <c r="D58" s="15"/>
      <c r="E58" s="15"/>
      <c r="F58" s="15"/>
      <c r="G58" s="15"/>
      <c r="H58" s="15"/>
      <c r="I58" s="15"/>
      <c r="J58" s="10"/>
      <c r="K58" s="10"/>
      <c r="L58" s="10">
        <v>439.2</v>
      </c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80" t="s">
        <v>106</v>
      </c>
      <c r="C59" s="33">
        <f t="shared" si="3"/>
        <v>617.44</v>
      </c>
      <c r="D59" s="15"/>
      <c r="E59" s="15"/>
      <c r="F59" s="15"/>
      <c r="G59" s="15"/>
      <c r="H59" s="15"/>
      <c r="I59" s="15"/>
      <c r="J59" s="10"/>
      <c r="L59" s="10">
        <v>237.12</v>
      </c>
      <c r="M59" s="10">
        <f>+617.44-L59</f>
        <v>380.32</v>
      </c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0" t="s">
        <v>107</v>
      </c>
      <c r="C60" s="33">
        <f t="shared" si="3"/>
        <v>1512.86</v>
      </c>
      <c r="D60" s="15"/>
      <c r="E60" s="15"/>
      <c r="F60" s="15"/>
      <c r="G60" s="15"/>
      <c r="H60" s="15"/>
      <c r="I60" s="15"/>
      <c r="J60" s="10"/>
      <c r="K60" s="10"/>
      <c r="L60" s="10">
        <v>91.5</v>
      </c>
      <c r="M60" s="15">
        <f>1787.86-L60-275</f>
        <v>1421.36</v>
      </c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0" t="s">
        <v>108</v>
      </c>
      <c r="C61" s="33">
        <f t="shared" si="3"/>
        <v>13460.64</v>
      </c>
      <c r="D61" s="15"/>
      <c r="E61" s="15"/>
      <c r="F61" s="15"/>
      <c r="G61" s="15"/>
      <c r="H61" s="15"/>
      <c r="I61" s="15"/>
      <c r="J61" s="10"/>
      <c r="L61" s="10">
        <v>4440.12</v>
      </c>
      <c r="M61" s="10">
        <v>3053.54</v>
      </c>
      <c r="N61" s="10">
        <v>3526.48</v>
      </c>
      <c r="O61" s="10">
        <v>2440.5</v>
      </c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0" t="s">
        <v>109</v>
      </c>
      <c r="C62" s="33">
        <f t="shared" si="3"/>
        <v>480</v>
      </c>
      <c r="D62" s="15"/>
      <c r="E62" s="15"/>
      <c r="F62" s="15"/>
      <c r="G62" s="15"/>
      <c r="H62" s="15"/>
      <c r="I62" s="15"/>
      <c r="J62" s="10"/>
      <c r="L62" s="10">
        <v>480.0</v>
      </c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0"/>
      <c r="C63" s="33"/>
      <c r="D63" s="15"/>
      <c r="E63" s="15"/>
      <c r="F63" s="15"/>
      <c r="G63" s="15"/>
      <c r="H63" s="15"/>
      <c r="I63" s="15"/>
      <c r="J63" s="10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0"/>
      <c r="C64" s="33">
        <f t="shared" ref="C64:C75" si="4">SUM(D64:S64)</f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0"/>
      <c r="C65" s="33">
        <f t="shared" si="4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0"/>
      <c r="C66" s="33">
        <f t="shared" si="4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0"/>
      <c r="C67" s="33">
        <f t="shared" si="4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0"/>
      <c r="C68" s="33">
        <f t="shared" si="4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0"/>
      <c r="C69" s="33">
        <f t="shared" si="4"/>
        <v>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0"/>
      <c r="C70" s="33">
        <f t="shared" si="4"/>
        <v>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0"/>
      <c r="C71" s="33">
        <f t="shared" si="4"/>
        <v>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0"/>
      <c r="C72" s="33">
        <f t="shared" si="4"/>
        <v>0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0"/>
      <c r="C73" s="33">
        <f t="shared" si="4"/>
        <v>0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0"/>
      <c r="C74" s="33">
        <f t="shared" si="4"/>
        <v>0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33">
        <f t="shared" si="4"/>
        <v>0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5.7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5.7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5.7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5.7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</sheetData>
  <mergeCells count="2">
    <mergeCell ref="D1:O1"/>
    <mergeCell ref="P1:S1"/>
  </mergeCells>
  <hyperlinks>
    <hyperlink r:id="rId1" ref="B5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5.22"/>
    <col customWidth="1" min="3" max="3" width="11.89"/>
    <col customWidth="1" min="4" max="4" width="14.78"/>
    <col customWidth="1" min="5" max="5" width="15.44"/>
    <col customWidth="1" min="6" max="6" width="13.22"/>
    <col customWidth="1" min="7" max="7" width="15.67"/>
    <col customWidth="1" min="8" max="8" width="15.11"/>
    <col customWidth="1" min="9" max="9" width="15.44"/>
    <col customWidth="1" min="10" max="10" width="15.33"/>
    <col customWidth="1" min="11" max="11" width="16.67"/>
    <col customWidth="1" min="12" max="12" width="14.67"/>
    <col customWidth="1" min="13" max="13" width="16.22"/>
    <col customWidth="1" min="14" max="14" width="13.33"/>
    <col customWidth="1" min="15" max="15" width="13.89"/>
    <col customWidth="1" min="16" max="16" width="12.11"/>
    <col customWidth="1" min="17" max="17" width="12.33"/>
    <col customWidth="1" min="18" max="19" width="7.44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24</v>
      </c>
      <c r="C3" s="31">
        <f>SUM(D3:S3)</f>
        <v>166772.14</v>
      </c>
      <c r="D3" s="31">
        <f t="shared" ref="D3:S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44492.14</v>
      </c>
      <c r="M3" s="31">
        <f t="shared" si="1"/>
        <v>41900</v>
      </c>
      <c r="N3" s="31">
        <f t="shared" si="1"/>
        <v>33850</v>
      </c>
      <c r="O3" s="31">
        <f t="shared" si="1"/>
        <v>25800</v>
      </c>
      <c r="P3" s="31">
        <f t="shared" si="1"/>
        <v>11220</v>
      </c>
      <c r="Q3" s="31">
        <f t="shared" si="1"/>
        <v>6010</v>
      </c>
      <c r="R3" s="31">
        <f t="shared" si="1"/>
        <v>3500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18" t="s">
        <v>110</v>
      </c>
      <c r="B4" s="81" t="s">
        <v>111</v>
      </c>
      <c r="C4" s="33">
        <f t="shared" ref="C4:C68" si="2">SUM(D4:S4)</f>
        <v>95180</v>
      </c>
      <c r="D4" s="60">
        <v>0.0</v>
      </c>
      <c r="E4" s="60">
        <v>0.0</v>
      </c>
      <c r="F4" s="60">
        <v>0.0</v>
      </c>
      <c r="G4" s="60"/>
      <c r="H4" s="60"/>
      <c r="I4" s="60"/>
      <c r="J4" s="60">
        <v>0.0</v>
      </c>
      <c r="K4" s="60">
        <v>0.0</v>
      </c>
      <c r="L4" s="60">
        <v>26050.0</v>
      </c>
      <c r="M4" s="60">
        <v>28200.0</v>
      </c>
      <c r="N4" s="60">
        <v>19800.0</v>
      </c>
      <c r="O4" s="60">
        <v>13600.0</v>
      </c>
      <c r="P4" s="60">
        <v>4520.0</v>
      </c>
      <c r="Q4" s="60">
        <v>3010.0</v>
      </c>
      <c r="R4" s="55"/>
      <c r="S4" s="55"/>
      <c r="T4" s="9"/>
      <c r="U4" s="9"/>
      <c r="V4" s="9"/>
      <c r="W4" s="9"/>
      <c r="X4" s="9"/>
      <c r="Y4" s="9"/>
      <c r="Z4" s="9"/>
    </row>
    <row r="5">
      <c r="A5" s="18" t="s">
        <v>110</v>
      </c>
      <c r="B5" s="66" t="s">
        <v>112</v>
      </c>
      <c r="C5" s="33">
        <f t="shared" si="2"/>
        <v>29750</v>
      </c>
      <c r="D5" s="10">
        <v>0.0</v>
      </c>
      <c r="E5" s="61">
        <v>0.0</v>
      </c>
      <c r="F5" s="10">
        <v>0.0</v>
      </c>
      <c r="G5" s="10"/>
      <c r="H5" s="14"/>
      <c r="I5" s="10"/>
      <c r="J5" s="10">
        <v>0.0</v>
      </c>
      <c r="K5" s="10"/>
      <c r="L5" s="10">
        <v>6000.0</v>
      </c>
      <c r="M5" s="10">
        <v>5700.0</v>
      </c>
      <c r="N5" s="10">
        <v>6050.0</v>
      </c>
      <c r="O5" s="10">
        <v>5800.0</v>
      </c>
      <c r="P5" s="10">
        <v>3200.0</v>
      </c>
      <c r="Q5" s="10">
        <v>3000.0</v>
      </c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66" t="s">
        <v>113</v>
      </c>
      <c r="C6" s="33">
        <f t="shared" si="2"/>
        <v>24000</v>
      </c>
      <c r="D6" s="60">
        <v>0.0</v>
      </c>
      <c r="E6" s="60">
        <v>0.0</v>
      </c>
      <c r="F6" s="60"/>
      <c r="G6" s="60"/>
      <c r="H6" s="60"/>
      <c r="I6" s="60"/>
      <c r="J6" s="60"/>
      <c r="K6" s="60"/>
      <c r="L6" s="60">
        <v>9000.0</v>
      </c>
      <c r="M6" s="60"/>
      <c r="N6" s="60">
        <v>8000.0</v>
      </c>
      <c r="O6" s="60"/>
      <c r="P6" s="60">
        <v>3500.0</v>
      </c>
      <c r="Q6" s="60"/>
      <c r="R6" s="60">
        <v>3500.0</v>
      </c>
      <c r="S6" s="60"/>
      <c r="T6" s="60"/>
      <c r="U6" s="60"/>
      <c r="V6" s="9"/>
      <c r="W6" s="9"/>
      <c r="X6" s="9"/>
      <c r="Y6" s="9"/>
      <c r="Z6" s="9"/>
    </row>
    <row r="7">
      <c r="A7" s="18" t="s">
        <v>110</v>
      </c>
      <c r="B7" s="82" t="s">
        <v>114</v>
      </c>
      <c r="C7" s="33">
        <f t="shared" si="2"/>
        <v>6000</v>
      </c>
      <c r="D7" s="14"/>
      <c r="E7" s="67">
        <v>0.0</v>
      </c>
      <c r="F7" s="14"/>
      <c r="G7" s="67"/>
      <c r="H7" s="15"/>
      <c r="I7" s="10"/>
      <c r="J7" s="15"/>
      <c r="K7" s="10"/>
      <c r="L7" s="15"/>
      <c r="M7" s="10">
        <v>3000.0</v>
      </c>
      <c r="N7" s="15"/>
      <c r="O7" s="10">
        <v>3000.0</v>
      </c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66" t="s">
        <v>115</v>
      </c>
      <c r="C8" s="33">
        <f t="shared" si="2"/>
        <v>11842.14</v>
      </c>
      <c r="D8" s="14"/>
      <c r="E8" s="67">
        <v>0.0</v>
      </c>
      <c r="F8" s="15"/>
      <c r="G8" s="67"/>
      <c r="H8" s="15"/>
      <c r="I8" s="10"/>
      <c r="J8" s="15"/>
      <c r="L8" s="10">
        <v>3442.14</v>
      </c>
      <c r="M8" s="10">
        <v>5000.0</v>
      </c>
      <c r="N8" s="15"/>
      <c r="O8" s="10">
        <v>3400.0</v>
      </c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18"/>
      <c r="B9" s="15"/>
      <c r="C9" s="33">
        <f t="shared" si="2"/>
        <v>0</v>
      </c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15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4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2.44"/>
    <col customWidth="1" min="3" max="3" width="11.89"/>
    <col customWidth="1" min="4" max="4" width="13.89"/>
    <col customWidth="1" min="5" max="5" width="19.33"/>
    <col customWidth="1" min="6" max="6" width="11.11"/>
    <col customWidth="1" min="7" max="7" width="10.33"/>
    <col customWidth="1" min="8" max="8" width="11.89"/>
    <col customWidth="1" min="9" max="9" width="13.11"/>
    <col customWidth="1" min="10" max="10" width="11.0"/>
    <col customWidth="1" min="11" max="11" width="11.89"/>
    <col customWidth="1" min="12" max="12" width="12.33"/>
    <col customWidth="1" min="13" max="14" width="11.11"/>
    <col customWidth="1" min="15" max="15" width="11.33"/>
    <col customWidth="1" min="16" max="16" width="14.33"/>
    <col customWidth="1" min="17" max="17" width="9.56"/>
    <col customWidth="1" min="18" max="18" width="11.11"/>
    <col customWidth="1" min="19" max="19" width="10.33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116</v>
      </c>
      <c r="C3" s="31">
        <f>SUM(D3:S3)</f>
        <v>113007.68</v>
      </c>
      <c r="D3" s="31">
        <f t="shared" ref="D3:S3" si="1">SUM(D4:D130)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49419.62</v>
      </c>
      <c r="M3" s="31">
        <f t="shared" si="1"/>
        <v>42229.5</v>
      </c>
      <c r="N3" s="31">
        <f t="shared" si="1"/>
        <v>20573.9</v>
      </c>
      <c r="O3" s="31">
        <f t="shared" si="1"/>
        <v>784.66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9"/>
      <c r="B4" s="59" t="s">
        <v>117</v>
      </c>
      <c r="C4" s="33">
        <f t="shared" ref="C4:C64" si="2">SUM(D4:S4)</f>
        <v>92438.79</v>
      </c>
      <c r="D4" s="55"/>
      <c r="E4" s="56"/>
      <c r="F4" s="83"/>
      <c r="G4" s="60"/>
      <c r="H4" s="60"/>
      <c r="I4" s="10"/>
      <c r="J4" s="10"/>
      <c r="K4" s="10"/>
      <c r="L4" s="64">
        <v>43419.62</v>
      </c>
      <c r="M4" s="64">
        <v>34291.5</v>
      </c>
      <c r="N4" s="64">
        <v>14048.63</v>
      </c>
      <c r="O4" s="64">
        <v>679.04</v>
      </c>
      <c r="P4" s="55"/>
      <c r="Q4" s="55"/>
      <c r="R4" s="55"/>
      <c r="S4" s="55"/>
      <c r="T4" s="9"/>
      <c r="U4" s="9"/>
      <c r="V4" s="9"/>
      <c r="W4" s="9"/>
      <c r="X4" s="9"/>
      <c r="Y4" s="9"/>
      <c r="Z4" s="9"/>
    </row>
    <row r="5">
      <c r="A5" s="9"/>
      <c r="B5" s="82" t="s">
        <v>118</v>
      </c>
      <c r="C5" s="33">
        <f t="shared" si="2"/>
        <v>20568.89</v>
      </c>
      <c r="D5" s="15"/>
      <c r="E5" s="14"/>
      <c r="F5" s="84"/>
      <c r="G5" s="10"/>
      <c r="H5" s="10"/>
      <c r="I5" s="10"/>
      <c r="J5" s="10"/>
      <c r="K5" s="10"/>
      <c r="L5" s="69">
        <v>6000.0</v>
      </c>
      <c r="M5" s="69">
        <v>7938.0</v>
      </c>
      <c r="N5" s="69">
        <v>6525.27</v>
      </c>
      <c r="O5" s="69">
        <v>105.62</v>
      </c>
      <c r="P5" s="15"/>
      <c r="Q5" s="15"/>
      <c r="R5" s="15"/>
      <c r="S5" s="15"/>
      <c r="T5" s="9"/>
      <c r="U5" s="9"/>
      <c r="V5" s="9"/>
      <c r="W5" s="9"/>
      <c r="X5" s="9"/>
      <c r="Y5" s="9"/>
      <c r="Z5" s="9"/>
    </row>
    <row r="6">
      <c r="A6" s="18"/>
      <c r="B6" s="66"/>
      <c r="C6" s="33">
        <f t="shared" si="2"/>
        <v>0</v>
      </c>
      <c r="D6" s="85"/>
      <c r="E6" s="84"/>
      <c r="F6" s="84"/>
      <c r="G6" s="84"/>
      <c r="H6" s="84"/>
      <c r="I6" s="84"/>
      <c r="J6" s="84"/>
      <c r="K6" s="84"/>
      <c r="L6" s="85"/>
      <c r="M6" s="85"/>
      <c r="N6" s="85"/>
      <c r="O6" s="85"/>
      <c r="P6" s="85"/>
      <c r="Q6" s="85"/>
      <c r="R6" s="85"/>
      <c r="S6" s="85"/>
      <c r="T6" s="86"/>
      <c r="U6" s="86"/>
      <c r="V6" s="86"/>
      <c r="W6" s="86"/>
      <c r="X6" s="86"/>
      <c r="Y6" s="86"/>
      <c r="Z6" s="86"/>
    </row>
    <row r="7">
      <c r="A7" s="9"/>
      <c r="B7" s="66"/>
      <c r="C7" s="33">
        <f t="shared" si="2"/>
        <v>0</v>
      </c>
      <c r="D7" s="85"/>
      <c r="E7" s="84"/>
      <c r="F7" s="84"/>
      <c r="G7" s="84"/>
      <c r="H7" s="14"/>
      <c r="I7" s="14"/>
      <c r="J7" s="14"/>
      <c r="K7" s="14"/>
      <c r="L7" s="15"/>
      <c r="M7" s="15"/>
      <c r="N7" s="15"/>
      <c r="O7" s="15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66"/>
      <c r="C8" s="33">
        <f t="shared" si="2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15"/>
      <c r="C9" s="33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14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5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1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1"/>
      <c r="C65" s="9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1"/>
      <c r="C66" s="9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1"/>
      <c r="C67" s="9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9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10.22"/>
    <col customWidth="1" min="2" max="2" width="27.67"/>
    <col customWidth="1" min="3" max="3" width="13.89"/>
    <col customWidth="1" min="4" max="4" width="13.0"/>
    <col customWidth="1" min="5" max="5" width="15.44"/>
    <col customWidth="1" min="6" max="6" width="15.22"/>
    <col customWidth="1" min="7" max="7" width="15.33"/>
    <col customWidth="1" min="8" max="8" width="12.67"/>
    <col customWidth="1" min="9" max="9" width="13.67"/>
    <col customWidth="1" min="10" max="10" width="10.22"/>
    <col customWidth="1" min="11" max="11" width="11.89"/>
    <col customWidth="1" min="12" max="12" width="14.22"/>
    <col customWidth="1" min="13" max="13" width="12.44"/>
    <col customWidth="1" min="14" max="14" width="12.67"/>
    <col customWidth="1" min="15" max="15" width="12.89"/>
    <col customWidth="1" min="16" max="16" width="12.78"/>
    <col customWidth="1" min="17" max="17" width="11.89"/>
    <col customWidth="1" min="18" max="26" width="10.22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26</v>
      </c>
      <c r="C3" s="31">
        <f>SUM(D3:S3)</f>
        <v>130623.847</v>
      </c>
      <c r="D3" s="31">
        <f t="shared" ref="D3:S3" si="1">SUM(D4:D135)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22367.0842</v>
      </c>
      <c r="M3" s="31">
        <f t="shared" si="1"/>
        <v>20279.8552</v>
      </c>
      <c r="N3" s="31">
        <f t="shared" si="1"/>
        <v>71933.9142</v>
      </c>
      <c r="O3" s="31">
        <f t="shared" si="1"/>
        <v>5896.9934</v>
      </c>
      <c r="P3" s="31">
        <f t="shared" si="1"/>
        <v>146</v>
      </c>
      <c r="Q3" s="31">
        <f t="shared" si="1"/>
        <v>10000</v>
      </c>
      <c r="R3" s="31">
        <f t="shared" si="1"/>
        <v>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9"/>
      <c r="B4" s="81" t="s">
        <v>119</v>
      </c>
      <c r="C4" s="33">
        <f t="shared" ref="C4:C7" si="2">SUM(D4:S4)</f>
        <v>5109</v>
      </c>
      <c r="D4" s="14"/>
      <c r="E4" s="14"/>
      <c r="F4" s="14"/>
      <c r="G4" s="56"/>
      <c r="H4" s="14"/>
      <c r="I4" s="10"/>
      <c r="J4" s="14"/>
      <c r="K4" s="14"/>
      <c r="L4" s="14"/>
      <c r="M4" s="56"/>
      <c r="N4" s="55"/>
      <c r="O4" s="60">
        <v>5109.0</v>
      </c>
      <c r="P4" s="55"/>
      <c r="Q4" s="55"/>
      <c r="R4" s="55"/>
      <c r="S4" s="56"/>
      <c r="T4" s="9"/>
      <c r="U4" s="9"/>
      <c r="V4" s="9"/>
      <c r="W4" s="9"/>
      <c r="X4" s="9"/>
      <c r="Y4" s="9"/>
      <c r="Z4" s="9"/>
    </row>
    <row r="5">
      <c r="A5" s="9"/>
      <c r="B5" s="82" t="s">
        <v>120</v>
      </c>
      <c r="C5" s="33">
        <f t="shared" si="2"/>
        <v>7500</v>
      </c>
      <c r="D5" s="14"/>
      <c r="E5" s="14"/>
      <c r="F5" s="14"/>
      <c r="G5" s="14"/>
      <c r="H5" s="14"/>
      <c r="I5" s="10"/>
      <c r="J5" s="10"/>
      <c r="K5" s="14"/>
      <c r="L5" s="14"/>
      <c r="M5" s="14"/>
      <c r="N5" s="10">
        <v>7500.0</v>
      </c>
      <c r="O5" s="15"/>
      <c r="P5" s="15"/>
      <c r="Q5" s="15"/>
      <c r="R5" s="14"/>
      <c r="S5" s="15"/>
      <c r="T5" s="9"/>
      <c r="U5" s="9"/>
      <c r="V5" s="9"/>
      <c r="W5" s="9"/>
      <c r="X5" s="9"/>
      <c r="Y5" s="9"/>
      <c r="Z5" s="9"/>
    </row>
    <row r="6">
      <c r="A6" s="9"/>
      <c r="B6" s="82" t="s">
        <v>121</v>
      </c>
      <c r="C6" s="33">
        <f t="shared" si="2"/>
        <v>0</v>
      </c>
      <c r="D6" s="14"/>
      <c r="E6" s="14"/>
      <c r="F6" s="14"/>
      <c r="G6" s="14"/>
      <c r="H6" s="14"/>
      <c r="I6" s="10"/>
      <c r="J6" s="15"/>
      <c r="K6" s="15"/>
      <c r="L6" s="15"/>
      <c r="M6" s="15"/>
      <c r="N6" s="10">
        <v>0.0</v>
      </c>
      <c r="O6" s="15"/>
      <c r="P6" s="15"/>
      <c r="Q6" s="15"/>
      <c r="R6" s="15"/>
      <c r="S6" s="15"/>
      <c r="T6" s="9"/>
      <c r="U6" s="9"/>
      <c r="V6" s="9"/>
      <c r="W6" s="9"/>
      <c r="X6" s="9"/>
      <c r="Y6" s="9"/>
      <c r="Z6" s="9"/>
    </row>
    <row r="7">
      <c r="A7" s="9"/>
      <c r="B7" s="82" t="s">
        <v>122</v>
      </c>
      <c r="C7" s="33">
        <f t="shared" si="2"/>
        <v>60000</v>
      </c>
      <c r="D7" s="14"/>
      <c r="E7" s="14"/>
      <c r="F7" s="14"/>
      <c r="G7" s="14"/>
      <c r="H7" s="10"/>
      <c r="I7" s="10"/>
      <c r="J7" s="10"/>
      <c r="K7" s="10"/>
      <c r="L7" s="10"/>
      <c r="M7" s="10"/>
      <c r="N7" s="10">
        <v>50000.0</v>
      </c>
      <c r="O7" s="10"/>
      <c r="P7" s="15"/>
      <c r="Q7" s="10">
        <v>10000.0</v>
      </c>
      <c r="R7" s="15"/>
      <c r="S7" s="15"/>
      <c r="T7" s="9"/>
      <c r="U7" s="9"/>
      <c r="V7" s="9"/>
      <c r="W7" s="9"/>
      <c r="X7" s="9"/>
      <c r="Y7" s="9"/>
      <c r="Z7" s="9"/>
    </row>
    <row r="8">
      <c r="B8" s="82" t="s">
        <v>123</v>
      </c>
      <c r="C8" s="33"/>
      <c r="D8" s="87"/>
      <c r="E8" s="87"/>
      <c r="F8" s="87"/>
      <c r="G8" s="88"/>
      <c r="H8" s="84"/>
      <c r="I8" s="85"/>
      <c r="J8" s="85"/>
      <c r="K8" s="67"/>
      <c r="L8" s="67">
        <v>1000.0</v>
      </c>
      <c r="M8" s="85"/>
      <c r="N8" s="85"/>
      <c r="O8" s="85"/>
      <c r="P8" s="85"/>
      <c r="Q8" s="85"/>
      <c r="R8" s="85"/>
      <c r="S8" s="85"/>
      <c r="T8" s="86"/>
      <c r="U8" s="86"/>
      <c r="V8" s="86"/>
      <c r="W8" s="86"/>
      <c r="X8" s="86"/>
      <c r="Y8" s="86"/>
      <c r="Z8" s="86"/>
    </row>
    <row r="9">
      <c r="A9" s="9"/>
      <c r="B9" s="66" t="s">
        <v>124</v>
      </c>
      <c r="C9" s="33">
        <f t="shared" ref="C9:C69" si="3">SUM(D9:S9)</f>
        <v>48692</v>
      </c>
      <c r="D9" s="15"/>
      <c r="E9" s="84"/>
      <c r="F9" s="84"/>
      <c r="G9" s="67"/>
      <c r="H9" s="10"/>
      <c r="I9" s="10"/>
      <c r="J9" s="10"/>
      <c r="K9" s="10"/>
      <c r="L9" s="10">
        <v>17272.0</v>
      </c>
      <c r="M9" s="10">
        <v>18020.0</v>
      </c>
      <c r="N9" s="10">
        <v>12828.0</v>
      </c>
      <c r="O9" s="10">
        <v>572.0</v>
      </c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82" t="s">
        <v>125</v>
      </c>
      <c r="C10" s="33">
        <f t="shared" si="3"/>
        <v>4862.847</v>
      </c>
      <c r="D10" s="15"/>
      <c r="E10" s="84"/>
      <c r="F10" s="84"/>
      <c r="G10" s="84"/>
      <c r="H10" s="15"/>
      <c r="I10" s="15"/>
      <c r="J10" s="15"/>
      <c r="K10" s="10"/>
      <c r="L10" s="15">
        <f>7474*0.3333</f>
        <v>2491.0842</v>
      </c>
      <c r="M10" s="15">
        <f>4344*0.3333</f>
        <v>1447.8552</v>
      </c>
      <c r="N10" s="15">
        <f>2574*0.3333</f>
        <v>857.9142</v>
      </c>
      <c r="O10" s="15">
        <f>198*0.3333</f>
        <v>65.9934</v>
      </c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66" t="s">
        <v>126</v>
      </c>
      <c r="C11" s="33">
        <f t="shared" si="3"/>
        <v>3460</v>
      </c>
      <c r="D11" s="15"/>
      <c r="E11" s="84"/>
      <c r="F11" s="84"/>
      <c r="G11" s="84"/>
      <c r="H11" s="10"/>
      <c r="I11" s="10"/>
      <c r="J11" s="10"/>
      <c r="K11" s="10"/>
      <c r="L11" s="10">
        <v>1604.0</v>
      </c>
      <c r="M11" s="10">
        <v>812.0</v>
      </c>
      <c r="N11" s="10">
        <v>748.0</v>
      </c>
      <c r="O11" s="10">
        <v>150.0</v>
      </c>
      <c r="P11" s="10">
        <v>146.0</v>
      </c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89"/>
      <c r="B12" s="10" t="s">
        <v>127</v>
      </c>
      <c r="C12" s="33">
        <f t="shared" si="3"/>
        <v>0</v>
      </c>
      <c r="D12" s="87"/>
      <c r="E12" s="87"/>
      <c r="F12" s="87"/>
      <c r="G12" s="88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6"/>
      <c r="U12" s="86"/>
      <c r="V12" s="86"/>
      <c r="W12" s="86"/>
      <c r="X12" s="86"/>
      <c r="Y12" s="86"/>
      <c r="Z12" s="86"/>
    </row>
    <row r="13">
      <c r="B13" s="10" t="s">
        <v>128</v>
      </c>
      <c r="C13" s="33">
        <f t="shared" si="3"/>
        <v>0</v>
      </c>
      <c r="D13" s="87"/>
      <c r="E13" s="87"/>
      <c r="F13" s="87"/>
      <c r="G13" s="88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86"/>
      <c r="V13" s="86"/>
      <c r="W13" s="86"/>
      <c r="X13" s="86"/>
      <c r="Y13" s="86"/>
      <c r="Z13" s="86"/>
    </row>
    <row r="14">
      <c r="B14" s="15"/>
      <c r="C14" s="33">
        <f t="shared" si="3"/>
        <v>0</v>
      </c>
      <c r="D14" s="87"/>
      <c r="E14" s="87"/>
      <c r="F14" s="87"/>
      <c r="G14" s="88"/>
      <c r="H14" s="84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86"/>
      <c r="V14" s="86"/>
      <c r="W14" s="86"/>
      <c r="X14" s="86"/>
      <c r="Y14" s="86"/>
      <c r="Z14" s="86"/>
    </row>
    <row r="15">
      <c r="A15" s="9"/>
      <c r="B15" s="15"/>
      <c r="C15" s="33">
        <f t="shared" si="3"/>
        <v>0</v>
      </c>
      <c r="D15" s="15"/>
      <c r="E15" s="15"/>
      <c r="F15" s="15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4"/>
      <c r="C16" s="33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>
      <c r="A21" s="9"/>
      <c r="B21" s="15"/>
      <c r="C21" s="33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3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3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3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3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3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3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3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3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3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3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3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3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3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5"/>
      <c r="C68" s="33">
        <f t="shared" si="3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33">
        <f t="shared" si="3"/>
        <v>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11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mergeCells count="3">
    <mergeCell ref="D1:O1"/>
    <mergeCell ref="P1:S1"/>
    <mergeCell ref="A12:A14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1.67"/>
    <col customWidth="1" min="3" max="3" width="11.89"/>
    <col customWidth="1" min="4" max="4" width="12.67"/>
    <col customWidth="1" min="5" max="5" width="13.56"/>
    <col customWidth="1" min="6" max="6" width="13.67"/>
    <col customWidth="1" min="7" max="7" width="13.33"/>
    <col customWidth="1" min="8" max="8" width="14.22"/>
    <col customWidth="1" min="9" max="9" width="14.44"/>
    <col customWidth="1" min="10" max="10" width="13.56"/>
    <col customWidth="1" min="11" max="11" width="12.78"/>
    <col customWidth="1" min="12" max="12" width="13.0"/>
    <col customWidth="1" min="13" max="13" width="13.44"/>
    <col customWidth="1" min="14" max="14" width="14.22"/>
    <col customWidth="1" min="15" max="15" width="15.22"/>
    <col customWidth="1" min="16" max="16" width="11.0"/>
    <col customWidth="1" min="17" max="17" width="12.11"/>
    <col customWidth="1" min="18" max="18" width="10.67"/>
    <col customWidth="1" min="19" max="19" width="10.44"/>
    <col customWidth="1" min="20" max="22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</row>
    <row r="3">
      <c r="A3" s="25"/>
      <c r="B3" s="31" t="s">
        <v>129</v>
      </c>
      <c r="C3" s="31">
        <f>SUM(D3:S3)</f>
        <v>181869.57</v>
      </c>
      <c r="D3" s="31">
        <f t="shared" ref="D3:S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13621.33</v>
      </c>
      <c r="M3" s="31">
        <f t="shared" si="1"/>
        <v>13665.58</v>
      </c>
      <c r="N3" s="31">
        <f t="shared" si="1"/>
        <v>13622.3</v>
      </c>
      <c r="O3" s="31">
        <f t="shared" si="1"/>
        <v>86464.2</v>
      </c>
      <c r="P3" s="31">
        <f t="shared" si="1"/>
        <v>13663.5</v>
      </c>
      <c r="Q3" s="31">
        <f t="shared" si="1"/>
        <v>13545.76</v>
      </c>
      <c r="R3" s="31">
        <f t="shared" si="1"/>
        <v>13662.11</v>
      </c>
      <c r="S3" s="31">
        <f t="shared" si="1"/>
        <v>13624.79</v>
      </c>
      <c r="T3" s="25"/>
      <c r="U3" s="25"/>
      <c r="V3" s="25"/>
    </row>
    <row r="4">
      <c r="A4" s="9"/>
      <c r="B4" s="81" t="s">
        <v>130</v>
      </c>
      <c r="C4" s="33">
        <f t="shared" ref="C4:C68" si="2">SUM(D4:S4)</f>
        <v>72800</v>
      </c>
      <c r="D4" s="56"/>
      <c r="E4" s="56"/>
      <c r="F4" s="56"/>
      <c r="G4" s="56"/>
      <c r="H4" s="56"/>
      <c r="I4" s="60"/>
      <c r="J4" s="56"/>
      <c r="K4" s="56"/>
      <c r="L4" s="56"/>
      <c r="M4" s="56"/>
      <c r="N4" s="56"/>
      <c r="O4" s="60">
        <v>72800.0</v>
      </c>
      <c r="P4" s="60"/>
      <c r="Q4" s="60"/>
      <c r="R4" s="60"/>
      <c r="S4" s="60"/>
      <c r="T4" s="9"/>
      <c r="U4" s="9"/>
      <c r="V4" s="9"/>
    </row>
    <row r="5">
      <c r="A5" s="9"/>
      <c r="B5" s="66" t="s">
        <v>131</v>
      </c>
      <c r="C5" s="33">
        <f t="shared" si="2"/>
        <v>97918.21</v>
      </c>
      <c r="D5" s="10"/>
      <c r="E5" s="10"/>
      <c r="F5" s="10"/>
      <c r="G5" s="10"/>
      <c r="H5" s="10"/>
      <c r="I5" s="10"/>
      <c r="J5" s="10"/>
      <c r="K5" s="10"/>
      <c r="L5" s="10">
        <v>12227.41</v>
      </c>
      <c r="M5" s="10">
        <v>12271.66</v>
      </c>
      <c r="N5" s="10">
        <v>12228.38</v>
      </c>
      <c r="O5" s="10">
        <v>12270.28</v>
      </c>
      <c r="P5" s="10">
        <v>12269.58</v>
      </c>
      <c r="Q5" s="10">
        <v>12151.84</v>
      </c>
      <c r="R5" s="10">
        <v>12268.19</v>
      </c>
      <c r="S5" s="10">
        <v>12230.87</v>
      </c>
      <c r="T5" s="9"/>
      <c r="U5" s="9"/>
      <c r="V5" s="9"/>
    </row>
    <row r="6">
      <c r="A6" s="9"/>
      <c r="B6" s="82" t="s">
        <v>132</v>
      </c>
      <c r="C6" s="33">
        <f t="shared" si="2"/>
        <v>11151.36</v>
      </c>
      <c r="D6" s="15"/>
      <c r="E6" s="15"/>
      <c r="F6" s="15"/>
      <c r="G6" s="15"/>
      <c r="H6" s="15"/>
      <c r="I6" s="15"/>
      <c r="J6" s="15"/>
      <c r="K6" s="15"/>
      <c r="L6" s="90">
        <v>1393.92</v>
      </c>
      <c r="M6" s="90">
        <v>1393.92</v>
      </c>
      <c r="N6" s="90">
        <v>1393.92</v>
      </c>
      <c r="O6" s="90">
        <v>1393.92</v>
      </c>
      <c r="P6" s="90">
        <v>1393.92</v>
      </c>
      <c r="Q6" s="90">
        <v>1393.92</v>
      </c>
      <c r="R6" s="90">
        <v>1393.92</v>
      </c>
      <c r="S6" s="90">
        <v>1393.92</v>
      </c>
      <c r="T6" s="9"/>
      <c r="U6" s="9"/>
      <c r="V6" s="9"/>
    </row>
    <row r="7">
      <c r="A7" s="9"/>
      <c r="B7" s="10"/>
      <c r="C7" s="33">
        <f t="shared" si="2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9"/>
      <c r="U7" s="9"/>
      <c r="V7" s="9"/>
    </row>
    <row r="8">
      <c r="A8" s="9"/>
      <c r="B8" s="15"/>
      <c r="C8" s="33">
        <f t="shared" si="2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9"/>
      <c r="U8" s="9"/>
      <c r="V8" s="9"/>
    </row>
    <row r="9">
      <c r="A9" s="9"/>
      <c r="B9" s="15"/>
      <c r="C9" s="33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</row>
    <row r="11">
      <c r="A11" s="9"/>
      <c r="B11" s="15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</row>
    <row r="15">
      <c r="A15" s="9"/>
      <c r="B15" s="14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</row>
    <row r="68" ht="15.75" customHeight="1">
      <c r="A68" s="9"/>
      <c r="B68" s="11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9"/>
      <c r="Q220" s="9"/>
      <c r="R220" s="9"/>
      <c r="S220" s="9"/>
      <c r="T220" s="9"/>
      <c r="U220" s="9"/>
      <c r="V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mergeCells count="2">
    <mergeCell ref="D1:O1"/>
    <mergeCell ref="P1:S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2.78"/>
    <col customWidth="1" min="3" max="4" width="11.89"/>
    <col customWidth="1" min="5" max="5" width="11.44"/>
    <col customWidth="1" min="6" max="6" width="11.11"/>
    <col customWidth="1" min="7" max="7" width="10.33"/>
    <col customWidth="1" min="8" max="11" width="11.0"/>
    <col customWidth="1" min="12" max="12" width="11.89"/>
    <col customWidth="1" min="13" max="13" width="11.0"/>
    <col customWidth="1" min="14" max="14" width="11.11"/>
    <col customWidth="1" min="15" max="16" width="11.89"/>
    <col customWidth="1" min="17" max="17" width="9.56"/>
    <col customWidth="1" min="18" max="18" width="11.11"/>
    <col customWidth="1" min="19" max="19" width="10.33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32</v>
      </c>
      <c r="C3" s="31">
        <f>SUM(D3:S3)</f>
        <v>77993.01</v>
      </c>
      <c r="D3" s="31">
        <f t="shared" ref="D3:S3" si="1">SUM(D4:D131)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30311.72</v>
      </c>
      <c r="M3" s="31">
        <f t="shared" si="1"/>
        <v>18987.95</v>
      </c>
      <c r="N3" s="31">
        <f t="shared" si="1"/>
        <v>8913.67</v>
      </c>
      <c r="O3" s="31">
        <f t="shared" si="1"/>
        <v>13073.15</v>
      </c>
      <c r="P3" s="31">
        <f t="shared" si="1"/>
        <v>2051.63</v>
      </c>
      <c r="Q3" s="31">
        <f t="shared" si="1"/>
        <v>1551.63</v>
      </c>
      <c r="R3" s="31">
        <f t="shared" si="1"/>
        <v>1551.63</v>
      </c>
      <c r="S3" s="31">
        <f t="shared" si="1"/>
        <v>1551.63</v>
      </c>
      <c r="T3" s="25"/>
      <c r="U3" s="25"/>
      <c r="V3" s="25"/>
      <c r="W3" s="25"/>
      <c r="X3" s="25"/>
      <c r="Y3" s="25"/>
      <c r="Z3" s="25"/>
    </row>
    <row r="4">
      <c r="A4" s="9"/>
      <c r="B4" s="81" t="s">
        <v>133</v>
      </c>
      <c r="C4" s="33">
        <f t="shared" ref="C4:C66" si="2">SUM(D4:S4)</f>
        <v>7502.64</v>
      </c>
      <c r="D4" s="55"/>
      <c r="E4" s="56"/>
      <c r="F4" s="57"/>
      <c r="G4" s="57"/>
      <c r="H4" s="91"/>
      <c r="I4" s="57"/>
      <c r="J4" s="57"/>
      <c r="K4" s="57"/>
      <c r="L4" s="57"/>
      <c r="M4" s="57"/>
      <c r="N4" s="57"/>
      <c r="O4" s="92">
        <f>6602.64+900</f>
        <v>7502.64</v>
      </c>
      <c r="P4" s="55"/>
      <c r="Q4" s="55"/>
      <c r="R4" s="55"/>
      <c r="S4" s="55"/>
      <c r="T4" s="9"/>
      <c r="U4" s="9"/>
      <c r="V4" s="9"/>
      <c r="W4" s="9"/>
      <c r="X4" s="9"/>
      <c r="Y4" s="9"/>
      <c r="Z4" s="9"/>
    </row>
    <row r="5">
      <c r="A5" s="9"/>
      <c r="B5" s="66" t="s">
        <v>134</v>
      </c>
      <c r="C5" s="33">
        <f t="shared" si="2"/>
        <v>2200</v>
      </c>
      <c r="D5" s="15"/>
      <c r="E5" s="15"/>
      <c r="F5" s="58"/>
      <c r="G5" s="58"/>
      <c r="H5" s="58"/>
      <c r="I5" s="58"/>
      <c r="J5" s="58"/>
      <c r="L5" s="33">
        <v>2200.0</v>
      </c>
      <c r="M5" s="58"/>
      <c r="N5" s="58"/>
      <c r="O5" s="58"/>
      <c r="P5" s="15"/>
      <c r="Q5" s="15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66" t="s">
        <v>135</v>
      </c>
      <c r="C6" s="33">
        <f t="shared" si="2"/>
        <v>3615</v>
      </c>
      <c r="D6" s="10"/>
      <c r="E6" s="15"/>
      <c r="F6" s="33"/>
      <c r="G6" s="58"/>
      <c r="H6" s="93"/>
      <c r="I6" s="33"/>
      <c r="J6" s="58"/>
      <c r="K6" s="58"/>
      <c r="L6" s="35">
        <v>1205.0</v>
      </c>
      <c r="M6" s="93">
        <v>1205.0</v>
      </c>
      <c r="N6" s="58"/>
      <c r="O6" s="35">
        <v>1205.0</v>
      </c>
      <c r="P6" s="14"/>
      <c r="Q6" s="15"/>
      <c r="R6" s="15"/>
      <c r="S6" s="14"/>
      <c r="T6" s="9"/>
      <c r="U6" s="9"/>
      <c r="V6" s="9"/>
      <c r="W6" s="9"/>
      <c r="X6" s="9"/>
      <c r="Y6" s="9"/>
      <c r="Z6" s="9"/>
    </row>
    <row r="7">
      <c r="A7" s="9"/>
      <c r="B7" s="82" t="s">
        <v>136</v>
      </c>
      <c r="C7" s="33">
        <f t="shared" si="2"/>
        <v>0</v>
      </c>
      <c r="D7" s="10"/>
      <c r="E7" s="15"/>
      <c r="F7" s="93"/>
      <c r="G7" s="58"/>
      <c r="H7" s="58"/>
      <c r="I7" s="58"/>
      <c r="J7" s="58"/>
      <c r="K7" s="58"/>
      <c r="L7" s="58"/>
      <c r="M7" s="58"/>
      <c r="N7" s="58"/>
      <c r="O7" s="58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18"/>
      <c r="B8" s="66" t="s">
        <v>137</v>
      </c>
      <c r="C8" s="33">
        <f t="shared" si="2"/>
        <v>0</v>
      </c>
      <c r="D8" s="15"/>
      <c r="E8" s="15"/>
      <c r="F8" s="58"/>
      <c r="G8" s="58"/>
      <c r="H8" s="35"/>
      <c r="I8" s="58"/>
      <c r="J8" s="58"/>
      <c r="K8" s="58"/>
      <c r="L8" s="58"/>
      <c r="M8" s="58"/>
      <c r="N8" s="58"/>
      <c r="O8" s="58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66" t="s">
        <v>138</v>
      </c>
      <c r="C9" s="33">
        <f t="shared" si="2"/>
        <v>0</v>
      </c>
      <c r="D9" s="15"/>
      <c r="E9" s="15"/>
      <c r="F9" s="58"/>
      <c r="G9" s="58"/>
      <c r="H9" s="35"/>
      <c r="I9" s="58"/>
      <c r="J9" s="58"/>
      <c r="K9" s="58"/>
      <c r="L9" s="58"/>
      <c r="M9" s="58"/>
      <c r="N9" s="58"/>
      <c r="O9" s="58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66" t="s">
        <v>139</v>
      </c>
      <c r="C10" s="33">
        <f t="shared" si="2"/>
        <v>780.8</v>
      </c>
      <c r="D10" s="15"/>
      <c r="E10" s="14"/>
      <c r="F10" s="33"/>
      <c r="G10" s="33"/>
      <c r="H10" s="33"/>
      <c r="I10" s="33"/>
      <c r="J10" s="33"/>
      <c r="K10" s="33"/>
      <c r="L10" s="33">
        <v>97.6</v>
      </c>
      <c r="M10" s="33">
        <v>97.6</v>
      </c>
      <c r="N10" s="33">
        <v>97.6</v>
      </c>
      <c r="O10" s="33">
        <v>97.6</v>
      </c>
      <c r="P10" s="33">
        <v>97.6</v>
      </c>
      <c r="Q10" s="33">
        <v>97.6</v>
      </c>
      <c r="R10" s="33">
        <v>97.6</v>
      </c>
      <c r="S10" s="33">
        <v>97.6</v>
      </c>
      <c r="T10" s="9"/>
      <c r="U10" s="9"/>
      <c r="V10" s="9"/>
      <c r="W10" s="9"/>
      <c r="X10" s="9"/>
      <c r="Y10" s="9"/>
      <c r="Z10" s="9"/>
    </row>
    <row r="11">
      <c r="A11" s="9"/>
      <c r="B11" s="66" t="s">
        <v>140</v>
      </c>
      <c r="C11" s="33">
        <f t="shared" si="2"/>
        <v>5321.64</v>
      </c>
      <c r="D11" s="15"/>
      <c r="F11" s="58"/>
      <c r="G11" s="58"/>
      <c r="H11" s="58"/>
      <c r="I11" s="58"/>
      <c r="J11" s="93"/>
      <c r="K11" s="93"/>
      <c r="L11" s="93">
        <v>5321.64</v>
      </c>
      <c r="M11" s="58"/>
      <c r="N11" s="58"/>
      <c r="O11" s="93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18"/>
      <c r="B12" s="82" t="s">
        <v>141</v>
      </c>
      <c r="C12" s="33">
        <f t="shared" si="2"/>
        <v>41940.69</v>
      </c>
      <c r="D12" s="14"/>
      <c r="E12" s="14"/>
      <c r="F12" s="58"/>
      <c r="G12" s="58"/>
      <c r="H12" s="93"/>
      <c r="I12" s="93"/>
      <c r="J12" s="93"/>
      <c r="K12" s="93"/>
      <c r="L12" s="93">
        <v>18033.45</v>
      </c>
      <c r="M12" s="93">
        <v>15731.32</v>
      </c>
      <c r="N12" s="93">
        <v>7362.04</v>
      </c>
      <c r="O12" s="93">
        <v>813.88</v>
      </c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18"/>
      <c r="B13" s="82" t="s">
        <v>142</v>
      </c>
      <c r="C13" s="33">
        <f t="shared" si="2"/>
        <v>1000</v>
      </c>
      <c r="D13" s="14"/>
      <c r="E13" s="14"/>
      <c r="F13" s="58"/>
      <c r="G13" s="93"/>
      <c r="H13" s="58"/>
      <c r="I13" s="58"/>
      <c r="J13" s="93"/>
      <c r="K13" s="58"/>
      <c r="L13" s="58"/>
      <c r="M13" s="93">
        <v>500.0</v>
      </c>
      <c r="N13" s="58"/>
      <c r="O13" s="58"/>
      <c r="P13" s="10">
        <v>500.0</v>
      </c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4"/>
      <c r="B14" s="95" t="s">
        <v>143</v>
      </c>
      <c r="C14" s="96">
        <f t="shared" si="2"/>
        <v>4000</v>
      </c>
      <c r="D14" s="97"/>
      <c r="E14" s="97"/>
      <c r="F14" s="98"/>
      <c r="G14" s="99"/>
      <c r="H14" s="99"/>
      <c r="I14" s="98"/>
      <c r="J14" s="99"/>
      <c r="K14" s="99"/>
      <c r="L14" s="98">
        <v>2000.0</v>
      </c>
      <c r="M14" s="99"/>
      <c r="N14" s="99"/>
      <c r="O14" s="98">
        <v>2000.0</v>
      </c>
      <c r="P14" s="97"/>
      <c r="Q14" s="97"/>
      <c r="R14" s="97"/>
      <c r="S14" s="97"/>
      <c r="T14" s="94"/>
      <c r="U14" s="94"/>
      <c r="V14" s="94"/>
      <c r="W14" s="94"/>
      <c r="X14" s="94"/>
      <c r="Y14" s="94"/>
      <c r="Z14" s="94"/>
    </row>
    <row r="15">
      <c r="A15" s="9"/>
      <c r="B15" s="100" t="s">
        <v>144</v>
      </c>
      <c r="C15" s="33">
        <f t="shared" si="2"/>
        <v>8245.12</v>
      </c>
      <c r="D15" s="10"/>
      <c r="E15" s="10"/>
      <c r="F15" s="10"/>
      <c r="G15" s="10"/>
      <c r="H15" s="10"/>
      <c r="I15" s="10"/>
      <c r="J15" s="10"/>
      <c r="K15" s="10"/>
      <c r="L15" s="10">
        <v>1030.64</v>
      </c>
      <c r="M15" s="10">
        <v>1030.64</v>
      </c>
      <c r="N15" s="10">
        <v>1030.64</v>
      </c>
      <c r="O15" s="10">
        <v>1030.64</v>
      </c>
      <c r="P15" s="10">
        <v>1030.64</v>
      </c>
      <c r="Q15" s="10">
        <v>1030.64</v>
      </c>
      <c r="R15" s="10">
        <v>1030.64</v>
      </c>
      <c r="S15" s="10">
        <v>1030.64</v>
      </c>
      <c r="T15" s="9"/>
      <c r="U15" s="9"/>
      <c r="V15" s="9"/>
      <c r="W15" s="9"/>
      <c r="X15" s="9"/>
      <c r="Y15" s="9"/>
      <c r="Z15" s="9"/>
    </row>
    <row r="16">
      <c r="A16" s="9"/>
      <c r="B16" s="100" t="s">
        <v>145</v>
      </c>
      <c r="C16" s="33">
        <f t="shared" si="2"/>
        <v>3387.12</v>
      </c>
      <c r="D16" s="15"/>
      <c r="E16" s="15"/>
      <c r="F16" s="15"/>
      <c r="G16" s="15"/>
      <c r="H16" s="15"/>
      <c r="I16" s="15"/>
      <c r="J16" s="15"/>
      <c r="K16" s="10"/>
      <c r="L16" s="10">
        <v>423.39</v>
      </c>
      <c r="M16" s="10">
        <v>423.39</v>
      </c>
      <c r="N16" s="10">
        <v>423.39</v>
      </c>
      <c r="O16" s="10">
        <v>423.39</v>
      </c>
      <c r="P16" s="10">
        <v>423.39</v>
      </c>
      <c r="Q16" s="10">
        <v>423.39</v>
      </c>
      <c r="R16" s="10">
        <v>423.39</v>
      </c>
      <c r="S16" s="10">
        <v>423.39</v>
      </c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1"/>
      <c r="C66" s="33">
        <f t="shared" si="2"/>
        <v>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1"/>
      <c r="C67" s="9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9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0.44"/>
    <col customWidth="1" min="3" max="3" width="11.89"/>
    <col customWidth="1" min="4" max="4" width="9.22"/>
    <col customWidth="1" min="5" max="5" width="10.22"/>
    <col customWidth="1" min="6" max="7" width="7.44"/>
    <col customWidth="1" min="8" max="13" width="11.89"/>
    <col customWidth="1" min="14" max="14" width="11.11"/>
    <col customWidth="1" min="15" max="15" width="10.33"/>
    <col customWidth="1" min="16" max="16" width="9.22"/>
    <col customWidth="1" min="17" max="17" width="10.22"/>
    <col customWidth="1" min="18" max="19" width="7.44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146</v>
      </c>
      <c r="C3" s="31">
        <f>SUM(D3:S3)</f>
        <v>336000</v>
      </c>
      <c r="D3" s="31">
        <f t="shared" ref="D3:S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166000</v>
      </c>
      <c r="M3" s="31">
        <f t="shared" si="1"/>
        <v>120000</v>
      </c>
      <c r="N3" s="31">
        <f t="shared" si="1"/>
        <v>50000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U3" s="25"/>
      <c r="V3" s="25"/>
      <c r="W3" s="25"/>
      <c r="X3" s="25"/>
      <c r="Y3" s="25"/>
      <c r="Z3" s="25"/>
    </row>
    <row r="4">
      <c r="A4" s="9"/>
      <c r="B4" s="81" t="s">
        <v>147</v>
      </c>
      <c r="C4" s="33">
        <f t="shared" ref="C4:C68" si="2">SUM(D4:S4)</f>
        <v>116000</v>
      </c>
      <c r="D4" s="55"/>
      <c r="E4" s="55"/>
      <c r="F4" s="55"/>
      <c r="G4" s="56"/>
      <c r="H4" s="35"/>
      <c r="I4" s="35"/>
      <c r="J4" s="35"/>
      <c r="K4" s="35"/>
      <c r="L4" s="35">
        <v>116000.0</v>
      </c>
      <c r="M4" s="35"/>
      <c r="N4" s="55"/>
      <c r="O4" s="55"/>
      <c r="P4" s="55"/>
      <c r="Q4" s="55"/>
      <c r="R4" s="55"/>
      <c r="S4" s="55"/>
      <c r="T4" s="9"/>
      <c r="U4" s="9"/>
      <c r="V4" s="9"/>
      <c r="W4" s="9"/>
      <c r="X4" s="9"/>
      <c r="Y4" s="9"/>
      <c r="Z4" s="9"/>
    </row>
    <row r="5">
      <c r="A5" s="9"/>
      <c r="B5" s="66" t="s">
        <v>148</v>
      </c>
      <c r="C5" s="33">
        <f t="shared" si="2"/>
        <v>120000</v>
      </c>
      <c r="D5" s="15"/>
      <c r="E5" s="15"/>
      <c r="F5" s="15"/>
      <c r="G5" s="14"/>
      <c r="H5" s="15"/>
      <c r="I5" s="10"/>
      <c r="J5" s="10"/>
      <c r="K5" s="10"/>
      <c r="L5" s="10"/>
      <c r="M5" s="10">
        <v>120000.0</v>
      </c>
      <c r="N5" s="15"/>
      <c r="O5" s="15"/>
      <c r="P5" s="15"/>
      <c r="Q5" s="15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66" t="s">
        <v>149</v>
      </c>
      <c r="C6" s="33">
        <f t="shared" si="2"/>
        <v>100000</v>
      </c>
      <c r="D6" s="15"/>
      <c r="E6" s="15"/>
      <c r="F6" s="15"/>
      <c r="G6" s="14"/>
      <c r="H6" s="15"/>
      <c r="I6" s="10"/>
      <c r="J6" s="10"/>
      <c r="K6" s="10"/>
      <c r="L6" s="10">
        <v>50000.0</v>
      </c>
      <c r="M6" s="10">
        <v>0.0</v>
      </c>
      <c r="N6" s="10">
        <v>50000.0</v>
      </c>
      <c r="O6" s="15"/>
      <c r="P6" s="15"/>
      <c r="Q6" s="15"/>
      <c r="R6" s="15"/>
      <c r="S6" s="15"/>
      <c r="T6" s="9"/>
      <c r="U6" s="9"/>
      <c r="V6" s="9"/>
      <c r="W6" s="9"/>
      <c r="X6" s="9"/>
      <c r="Y6" s="9"/>
      <c r="Z6" s="9"/>
    </row>
    <row r="7">
      <c r="A7" s="9"/>
      <c r="B7" s="82"/>
      <c r="C7" s="33">
        <f t="shared" si="2"/>
        <v>0</v>
      </c>
      <c r="D7" s="15"/>
      <c r="E7" s="15"/>
      <c r="F7" s="15"/>
      <c r="G7" s="15"/>
      <c r="H7" s="10"/>
      <c r="I7" s="10"/>
      <c r="J7" s="10"/>
      <c r="K7" s="10"/>
      <c r="L7" s="10"/>
      <c r="M7" s="10"/>
      <c r="N7" s="10"/>
      <c r="O7" s="10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15"/>
      <c r="C8" s="33">
        <f t="shared" si="2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15"/>
      <c r="C9" s="33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15"/>
      <c r="C11" s="33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4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1.22"/>
    <col customWidth="1" min="3" max="4" width="11.89"/>
    <col customWidth="1" min="5" max="5" width="14.0"/>
    <col customWidth="1" min="6" max="6" width="11.11"/>
    <col customWidth="1" min="7" max="7" width="10.33"/>
    <col customWidth="1" min="8" max="8" width="10.0"/>
    <col customWidth="1" min="9" max="9" width="10.22"/>
    <col customWidth="1" min="10" max="10" width="10.33"/>
    <col customWidth="1" min="11" max="11" width="12.33"/>
    <col customWidth="1" min="12" max="12" width="12.78"/>
    <col customWidth="1" min="13" max="13" width="10.11"/>
    <col customWidth="1" min="14" max="14" width="11.78"/>
    <col customWidth="1" min="15" max="15" width="12.78"/>
    <col customWidth="1" min="16" max="16" width="11.89"/>
    <col customWidth="1" min="17" max="17" width="9.56"/>
    <col customWidth="1" min="18" max="18" width="11.11"/>
    <col customWidth="1" min="19" max="19" width="10.33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29</v>
      </c>
      <c r="C3" s="31">
        <f>SUM(D3:S3)</f>
        <v>23897.43</v>
      </c>
      <c r="D3" s="31">
        <f t="shared" ref="D3:S3" si="1">SUM(D4:D136)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6368.96</v>
      </c>
      <c r="M3" s="31">
        <f t="shared" si="1"/>
        <v>7528.47</v>
      </c>
      <c r="N3" s="31">
        <f t="shared" si="1"/>
        <v>5000</v>
      </c>
      <c r="O3" s="31">
        <f t="shared" si="1"/>
        <v>5000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25"/>
      <c r="U3" s="25"/>
      <c r="V3" s="25"/>
      <c r="W3" s="25"/>
      <c r="X3" s="25"/>
      <c r="Y3" s="25"/>
      <c r="Z3" s="25"/>
    </row>
    <row r="4">
      <c r="A4" s="9"/>
      <c r="B4" s="81" t="s">
        <v>150</v>
      </c>
      <c r="C4" s="33">
        <f t="shared" ref="C4:C70" si="2">SUM(D4:S4)</f>
        <v>7528.47</v>
      </c>
      <c r="D4" s="56"/>
      <c r="E4" s="56"/>
      <c r="F4" s="56"/>
      <c r="G4" s="60"/>
      <c r="H4" s="56"/>
      <c r="I4" s="55"/>
      <c r="J4" s="60"/>
      <c r="K4" s="56"/>
      <c r="L4" s="56"/>
      <c r="M4" s="60">
        <v>2528.47</v>
      </c>
      <c r="N4" s="60">
        <v>5000.0</v>
      </c>
      <c r="O4" s="60"/>
      <c r="P4" s="56"/>
      <c r="Q4" s="55"/>
      <c r="R4" s="55"/>
      <c r="S4" s="55"/>
      <c r="T4" s="9"/>
      <c r="U4" s="9"/>
      <c r="V4" s="9"/>
      <c r="W4" s="9"/>
      <c r="X4" s="9"/>
      <c r="Y4" s="9"/>
      <c r="Z4" s="9"/>
    </row>
    <row r="5">
      <c r="A5" s="9"/>
      <c r="B5" s="66" t="s">
        <v>151</v>
      </c>
      <c r="C5" s="33">
        <f t="shared" si="2"/>
        <v>10000</v>
      </c>
      <c r="D5" s="15"/>
      <c r="E5" s="56"/>
      <c r="F5" s="14"/>
      <c r="G5" s="60"/>
      <c r="H5" s="56"/>
      <c r="I5" s="55"/>
      <c r="J5" s="60"/>
      <c r="K5" s="56"/>
      <c r="L5" s="56"/>
      <c r="M5" s="60">
        <v>5000.0</v>
      </c>
      <c r="N5" s="56"/>
      <c r="O5" s="60">
        <v>5000.0</v>
      </c>
      <c r="P5" s="15"/>
      <c r="Q5" s="14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66" t="s">
        <v>152</v>
      </c>
      <c r="C6" s="33">
        <f t="shared" si="2"/>
        <v>0</v>
      </c>
      <c r="D6" s="15"/>
      <c r="E6" s="56"/>
      <c r="F6" s="15"/>
      <c r="G6" s="15"/>
      <c r="H6" s="14"/>
      <c r="I6" s="15"/>
      <c r="J6" s="15"/>
      <c r="K6" s="15"/>
      <c r="L6" s="15"/>
      <c r="M6" s="15"/>
      <c r="N6" s="15"/>
      <c r="O6" s="15"/>
      <c r="P6" s="15"/>
      <c r="R6" s="15"/>
      <c r="S6" s="15"/>
      <c r="T6" s="9"/>
      <c r="U6" s="9"/>
      <c r="V6" s="9"/>
      <c r="W6" s="9"/>
      <c r="X6" s="9"/>
      <c r="Y6" s="9"/>
      <c r="Z6" s="9"/>
    </row>
    <row r="7">
      <c r="A7" s="9"/>
      <c r="B7" s="66" t="s">
        <v>153</v>
      </c>
      <c r="C7" s="33">
        <f t="shared" si="2"/>
        <v>1268.8</v>
      </c>
      <c r="D7" s="15"/>
      <c r="E7" s="14"/>
      <c r="F7" s="14"/>
      <c r="G7" s="15"/>
      <c r="H7" s="14"/>
      <c r="I7" s="15"/>
      <c r="J7" s="10"/>
      <c r="K7" s="10"/>
      <c r="L7" s="10">
        <v>1268.8</v>
      </c>
      <c r="M7" s="15"/>
      <c r="N7" s="15"/>
      <c r="O7" s="15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66" t="s">
        <v>154</v>
      </c>
      <c r="C8" s="33">
        <f t="shared" si="2"/>
        <v>1040</v>
      </c>
      <c r="D8" s="15"/>
      <c r="F8" s="14"/>
      <c r="G8" s="14"/>
      <c r="H8" s="14"/>
      <c r="I8" s="15"/>
      <c r="J8" s="10"/>
      <c r="K8" s="10"/>
      <c r="L8" s="10">
        <v>1040.0</v>
      </c>
      <c r="M8" s="15"/>
      <c r="N8" s="15"/>
      <c r="O8" s="15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82" t="s">
        <v>155</v>
      </c>
      <c r="C9" s="33">
        <f t="shared" si="2"/>
        <v>1268.8</v>
      </c>
      <c r="D9" s="15"/>
      <c r="E9" s="11"/>
      <c r="F9" s="15"/>
      <c r="G9" s="14"/>
      <c r="H9" s="15"/>
      <c r="I9" s="15"/>
      <c r="J9" s="10"/>
      <c r="K9" s="10"/>
      <c r="L9" s="10">
        <v>1268.8</v>
      </c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66" t="s">
        <v>156</v>
      </c>
      <c r="C10" s="33">
        <f t="shared" si="2"/>
        <v>1268.8</v>
      </c>
      <c r="D10" s="15"/>
      <c r="E10" s="11"/>
      <c r="F10" s="15"/>
      <c r="G10" s="14"/>
      <c r="H10" s="15"/>
      <c r="I10" s="15"/>
      <c r="J10" s="10"/>
      <c r="K10" s="10"/>
      <c r="L10" s="10">
        <v>1268.8</v>
      </c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66" t="s">
        <v>157</v>
      </c>
      <c r="C11" s="33">
        <f t="shared" si="2"/>
        <v>1522.56</v>
      </c>
      <c r="D11" s="15"/>
      <c r="E11" s="15"/>
      <c r="F11" s="15"/>
      <c r="G11" s="14"/>
      <c r="H11" s="15"/>
      <c r="I11" s="15"/>
      <c r="J11" s="10"/>
      <c r="L11" s="10">
        <v>1522.56</v>
      </c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 t="shared" si="2"/>
        <v>0</v>
      </c>
      <c r="D12" s="15"/>
      <c r="E12" s="15"/>
      <c r="F12" s="15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si="2"/>
        <v>0</v>
      </c>
      <c r="D13" s="15"/>
      <c r="E13" s="15"/>
      <c r="F13" s="15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5"/>
      <c r="C15" s="33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4"/>
      <c r="C17" s="33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2"/>
        <v>0</v>
      </c>
      <c r="D20" s="15"/>
      <c r="E20" s="15"/>
      <c r="F20" s="15"/>
      <c r="G20" s="15"/>
      <c r="H20" s="15"/>
      <c r="I20" s="15"/>
      <c r="J20" s="15"/>
      <c r="K20" s="14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>
      <c r="A21" s="9"/>
      <c r="B21" s="15"/>
      <c r="C21" s="33">
        <f t="shared" si="2"/>
        <v>0</v>
      </c>
      <c r="D21" s="15"/>
      <c r="E21" s="15"/>
      <c r="F21" s="15"/>
      <c r="G21" s="15"/>
      <c r="H21" s="15"/>
      <c r="I21" s="15"/>
      <c r="J21" s="15"/>
      <c r="K21" s="14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>
      <c r="A22" s="9"/>
      <c r="B22" s="15"/>
      <c r="C22" s="33">
        <f t="shared" si="2"/>
        <v>0</v>
      </c>
      <c r="D22" s="15"/>
      <c r="E22" s="15"/>
      <c r="F22" s="15"/>
      <c r="G22" s="15"/>
      <c r="H22" s="15"/>
      <c r="I22" s="15"/>
      <c r="J22" s="15"/>
      <c r="K22" s="14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2"/>
        <v>0</v>
      </c>
      <c r="D23" s="15"/>
      <c r="E23" s="15"/>
      <c r="F23" s="15"/>
      <c r="G23" s="15"/>
      <c r="H23" s="15"/>
      <c r="I23" s="15"/>
      <c r="J23" s="15"/>
      <c r="K23" s="14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2"/>
        <v>0</v>
      </c>
      <c r="D24" s="15"/>
      <c r="E24" s="15"/>
      <c r="F24" s="15"/>
      <c r="G24" s="15"/>
      <c r="H24" s="15"/>
      <c r="I24" s="15"/>
      <c r="J24" s="15"/>
      <c r="K24" s="14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2"/>
        <v>0</v>
      </c>
      <c r="D25" s="15"/>
      <c r="E25" s="15"/>
      <c r="F25" s="15"/>
      <c r="G25" s="15"/>
      <c r="H25" s="15"/>
      <c r="I25" s="15"/>
      <c r="J25" s="15"/>
      <c r="K25" s="14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2"/>
        <v>0</v>
      </c>
      <c r="D26" s="15"/>
      <c r="E26" s="15"/>
      <c r="F26" s="15"/>
      <c r="G26" s="15"/>
      <c r="H26" s="15"/>
      <c r="I26" s="15"/>
      <c r="J26" s="15"/>
      <c r="K26" s="14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2"/>
        <v>0</v>
      </c>
      <c r="D27" s="15"/>
      <c r="E27" s="15"/>
      <c r="F27" s="15"/>
      <c r="G27" s="15"/>
      <c r="H27" s="15"/>
      <c r="I27" s="15"/>
      <c r="J27" s="15"/>
      <c r="K27" s="14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2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2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2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2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2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2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2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2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2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2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2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2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5"/>
      <c r="C68" s="33">
        <f t="shared" si="2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5"/>
      <c r="C69" s="33">
        <f t="shared" si="2"/>
        <v>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33">
        <f t="shared" si="2"/>
        <v>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11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11"/>
      <c r="C221" s="9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1.44"/>
    <col customWidth="1" min="3" max="4" width="11.89"/>
    <col customWidth="1" min="5" max="5" width="11.0"/>
    <col customWidth="1" min="6" max="6" width="11.11"/>
    <col customWidth="1" min="7" max="7" width="10.33"/>
    <col customWidth="1" min="8" max="15" width="11.0"/>
    <col customWidth="1" min="16" max="16" width="11.89"/>
    <col customWidth="1" min="17" max="17" width="11.0"/>
    <col customWidth="1" min="18" max="18" width="11.11"/>
    <col customWidth="1" min="19" max="19" width="10.33"/>
    <col customWidth="1" min="20" max="26" width="8.33"/>
  </cols>
  <sheetData>
    <row r="1">
      <c r="A1" s="2"/>
      <c r="B1" s="53"/>
      <c r="C1" s="2"/>
      <c r="D1" s="3">
        <v>2025.0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2026.0</v>
      </c>
      <c r="Q1" s="4"/>
      <c r="R1" s="4"/>
      <c r="S1" s="5"/>
      <c r="T1" s="2"/>
      <c r="U1" s="2"/>
      <c r="V1" s="2"/>
      <c r="W1" s="2"/>
      <c r="X1" s="2"/>
      <c r="Y1" s="2"/>
      <c r="Z1" s="2"/>
    </row>
    <row r="2">
      <c r="A2" s="2"/>
      <c r="B2" s="53"/>
      <c r="C2" s="2"/>
      <c r="D2" s="6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</v>
      </c>
      <c r="Q2" s="7" t="s">
        <v>2</v>
      </c>
      <c r="R2" s="7" t="s">
        <v>3</v>
      </c>
      <c r="S2" s="7" t="s">
        <v>4</v>
      </c>
      <c r="T2" s="2"/>
      <c r="U2" s="2"/>
      <c r="V2" s="2"/>
      <c r="W2" s="2"/>
      <c r="X2" s="2"/>
      <c r="Y2" s="2"/>
      <c r="Z2" s="2"/>
    </row>
    <row r="3">
      <c r="A3" s="25"/>
      <c r="B3" s="31" t="s">
        <v>158</v>
      </c>
      <c r="C3" s="31">
        <f>D3+E3+F3+G3+H3+I3+J3+K3+L3+M3+N3+O3+P3+Q3+R3+R4</f>
        <v>160000</v>
      </c>
      <c r="D3" s="31">
        <f t="shared" ref="D3:S3" si="1">SUM(D4:D134)</f>
        <v>0</v>
      </c>
      <c r="E3" s="31">
        <f t="shared" si="1"/>
        <v>0</v>
      </c>
      <c r="F3" s="31">
        <f t="shared" si="1"/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20000</v>
      </c>
      <c r="M3" s="31">
        <f t="shared" si="1"/>
        <v>20000</v>
      </c>
      <c r="N3" s="31">
        <f t="shared" si="1"/>
        <v>20000</v>
      </c>
      <c r="O3" s="31">
        <f t="shared" si="1"/>
        <v>20000</v>
      </c>
      <c r="P3" s="31">
        <f t="shared" si="1"/>
        <v>20000</v>
      </c>
      <c r="Q3" s="31">
        <f t="shared" si="1"/>
        <v>20000</v>
      </c>
      <c r="R3" s="31">
        <f t="shared" si="1"/>
        <v>20000</v>
      </c>
      <c r="S3" s="31">
        <f t="shared" si="1"/>
        <v>20000</v>
      </c>
      <c r="T3" s="25"/>
      <c r="U3" s="25"/>
      <c r="V3" s="25"/>
      <c r="W3" s="25"/>
      <c r="X3" s="25"/>
      <c r="Y3" s="25"/>
      <c r="Z3" s="25"/>
    </row>
    <row r="4">
      <c r="A4" s="9"/>
      <c r="B4" s="60"/>
      <c r="C4" s="33">
        <f>SUM(D4:S4)</f>
        <v>160000</v>
      </c>
      <c r="D4" s="55"/>
      <c r="E4" s="60">
        <v>0.0</v>
      </c>
      <c r="F4" s="60">
        <v>0.0</v>
      </c>
      <c r="G4" s="56"/>
      <c r="H4" s="56"/>
      <c r="I4" s="56"/>
      <c r="J4" s="56"/>
      <c r="K4" s="56"/>
      <c r="L4" s="56">
        <v>20000.0</v>
      </c>
      <c r="M4" s="56">
        <v>20000.0</v>
      </c>
      <c r="N4" s="56">
        <v>20000.0</v>
      </c>
      <c r="O4" s="56">
        <v>20000.0</v>
      </c>
      <c r="P4" s="56">
        <v>20000.0</v>
      </c>
      <c r="Q4" s="56">
        <v>20000.0</v>
      </c>
      <c r="R4" s="56">
        <v>20000.0</v>
      </c>
      <c r="S4" s="56">
        <v>20000.0</v>
      </c>
      <c r="T4" s="9"/>
      <c r="U4" s="9"/>
      <c r="V4" s="9"/>
      <c r="W4" s="9"/>
      <c r="X4" s="9"/>
      <c r="Y4" s="9"/>
      <c r="Z4" s="9"/>
    </row>
    <row r="5">
      <c r="A5" s="9"/>
      <c r="B5" s="60" t="s">
        <v>159</v>
      </c>
      <c r="C5" s="33">
        <f>H5+I5+J5+K5+L5+M5+N5+O5</f>
        <v>0</v>
      </c>
      <c r="D5" s="15"/>
      <c r="E5" s="14"/>
      <c r="F5" s="15"/>
      <c r="G5" s="15"/>
      <c r="H5" s="15"/>
      <c r="I5" s="15"/>
      <c r="J5" s="15"/>
      <c r="K5" s="15"/>
      <c r="L5" s="15"/>
      <c r="M5" s="15"/>
      <c r="N5" s="15"/>
      <c r="O5" s="14"/>
      <c r="P5" s="15"/>
      <c r="Q5" s="15"/>
      <c r="R5" s="15"/>
      <c r="S5" s="15"/>
      <c r="T5" s="9"/>
      <c r="U5" s="9"/>
      <c r="V5" s="9"/>
      <c r="W5" s="9"/>
      <c r="X5" s="9"/>
      <c r="Y5" s="9"/>
      <c r="Z5" s="9"/>
    </row>
    <row r="6">
      <c r="A6" s="9"/>
      <c r="B6" s="15"/>
      <c r="C6" s="33">
        <f>+H6+I6+J6+K6+L6+M6+N6+O6+G6+F6+E6</f>
        <v>0</v>
      </c>
      <c r="D6" s="15"/>
      <c r="E6" s="15"/>
      <c r="F6" s="15"/>
      <c r="G6" s="14"/>
      <c r="H6" s="15"/>
      <c r="I6" s="15"/>
      <c r="J6" s="14"/>
      <c r="K6" s="15"/>
      <c r="L6" s="15"/>
      <c r="M6" s="14"/>
      <c r="N6" s="15"/>
      <c r="O6" s="15"/>
      <c r="P6" s="14"/>
      <c r="Q6" s="15"/>
      <c r="R6" s="15"/>
      <c r="S6" s="14"/>
      <c r="T6" s="9"/>
      <c r="U6" s="9"/>
      <c r="V6" s="9"/>
      <c r="W6" s="9"/>
      <c r="X6" s="9"/>
      <c r="Y6" s="9"/>
      <c r="Z6" s="9"/>
    </row>
    <row r="7">
      <c r="A7" s="9"/>
      <c r="B7" s="10"/>
      <c r="C7" s="33">
        <f t="shared" ref="C7:C10" si="2">H7+I7+J7+K7+L7+M7+N7+O7</f>
        <v>0</v>
      </c>
      <c r="D7" s="15"/>
      <c r="E7" s="15"/>
      <c r="F7" s="8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9"/>
      <c r="U7" s="9"/>
      <c r="V7" s="9"/>
      <c r="W7" s="9"/>
      <c r="X7" s="9"/>
      <c r="Y7" s="9"/>
      <c r="Z7" s="9"/>
    </row>
    <row r="8">
      <c r="A8" s="9"/>
      <c r="B8" s="15"/>
      <c r="C8" s="33">
        <f t="shared" si="2"/>
        <v>0</v>
      </c>
      <c r="D8" s="15"/>
      <c r="E8" s="15"/>
      <c r="F8" s="15"/>
      <c r="G8" s="15"/>
      <c r="H8" s="15"/>
      <c r="I8" s="15"/>
      <c r="J8" s="15"/>
      <c r="K8" s="15"/>
      <c r="L8" s="14"/>
      <c r="M8" s="15"/>
      <c r="N8" s="15"/>
      <c r="O8" s="15"/>
      <c r="P8" s="15"/>
      <c r="Q8" s="15"/>
      <c r="R8" s="15"/>
      <c r="S8" s="15"/>
      <c r="T8" s="9"/>
      <c r="U8" s="9"/>
      <c r="V8" s="9"/>
      <c r="W8" s="9"/>
      <c r="X8" s="9"/>
      <c r="Y8" s="9"/>
      <c r="Z8" s="9"/>
    </row>
    <row r="9">
      <c r="A9" s="9"/>
      <c r="B9" s="15"/>
      <c r="C9" s="33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9"/>
      <c r="U9" s="9"/>
      <c r="V9" s="9"/>
      <c r="W9" s="9"/>
      <c r="X9" s="9"/>
      <c r="Y9" s="9"/>
      <c r="Z9" s="9"/>
    </row>
    <row r="10">
      <c r="A10" s="9"/>
      <c r="B10" s="15"/>
      <c r="C10" s="33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9"/>
      <c r="U10" s="9"/>
      <c r="V10" s="9"/>
      <c r="W10" s="9"/>
      <c r="X10" s="9"/>
      <c r="Y10" s="9"/>
      <c r="Z10" s="9"/>
    </row>
    <row r="11">
      <c r="A11" s="9"/>
      <c r="B11" s="15"/>
      <c r="C11" s="33">
        <f>F11+G11+H11+I11+J11+K11+L11+M11+N11+O11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9"/>
      <c r="U11" s="9"/>
      <c r="V11" s="9"/>
      <c r="W11" s="9"/>
      <c r="X11" s="9"/>
      <c r="Y11" s="9"/>
      <c r="Z11" s="9"/>
    </row>
    <row r="12">
      <c r="A12" s="9"/>
      <c r="B12" s="15"/>
      <c r="C12" s="33">
        <f>+H12+I12+J12+K12+L12+M12+N12+O12+F12+G12</f>
        <v>0</v>
      </c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9"/>
      <c r="U12" s="9"/>
      <c r="V12" s="9"/>
      <c r="W12" s="9"/>
      <c r="X12" s="9"/>
      <c r="Y12" s="9"/>
      <c r="Z12" s="9"/>
    </row>
    <row r="13">
      <c r="A13" s="9"/>
      <c r="B13" s="15"/>
      <c r="C13" s="33">
        <f t="shared" ref="C13:C16" si="3">H13+I13+J13+K13+L13+M13+N13+O13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9"/>
      <c r="U13" s="9"/>
      <c r="V13" s="9"/>
      <c r="W13" s="9"/>
      <c r="X13" s="9"/>
      <c r="Y13" s="9"/>
      <c r="Z13" s="9"/>
    </row>
    <row r="14">
      <c r="A14" s="9"/>
      <c r="B14" s="15"/>
      <c r="C14" s="33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9"/>
      <c r="U14" s="9"/>
      <c r="V14" s="9"/>
      <c r="W14" s="9"/>
      <c r="X14" s="9"/>
      <c r="Y14" s="9"/>
      <c r="Z14" s="9"/>
    </row>
    <row r="15">
      <c r="A15" s="9"/>
      <c r="B15" s="14"/>
      <c r="C15" s="33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9"/>
      <c r="U15" s="9"/>
      <c r="V15" s="9"/>
      <c r="W15" s="9"/>
      <c r="X15" s="9"/>
      <c r="Y15" s="9"/>
      <c r="Z15" s="9"/>
    </row>
    <row r="16">
      <c r="A16" s="9"/>
      <c r="B16" s="15"/>
      <c r="C16" s="33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9"/>
      <c r="Y16" s="9"/>
      <c r="Z16" s="9"/>
    </row>
    <row r="17">
      <c r="A17" s="9"/>
      <c r="B17" s="15"/>
      <c r="C17" s="33">
        <f t="shared" ref="C17:C68" si="4">D17+E17+F17+G17+H17+I17+J17+K17+L17+M17+N17+O17+P17+Q17+R17+S17+N17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9"/>
      <c r="U17" s="9"/>
      <c r="V17" s="9"/>
      <c r="W17" s="9"/>
      <c r="X17" s="9"/>
      <c r="Y17" s="9"/>
      <c r="Z17" s="9"/>
    </row>
    <row r="18">
      <c r="A18" s="9"/>
      <c r="B18" s="15"/>
      <c r="C18" s="33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9"/>
      <c r="Y18" s="9"/>
      <c r="Z18" s="9"/>
    </row>
    <row r="19">
      <c r="A19" s="9"/>
      <c r="B19" s="15"/>
      <c r="C19" s="33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9"/>
      <c r="U19" s="9"/>
      <c r="V19" s="9"/>
      <c r="W19" s="9"/>
      <c r="X19" s="9"/>
      <c r="Y19" s="9"/>
      <c r="Z19" s="9"/>
    </row>
    <row r="20">
      <c r="A20" s="9"/>
      <c r="B20" s="15"/>
      <c r="C20" s="33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33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33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33">
        <f t="shared" si="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33">
        <f t="shared" si="4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33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33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33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33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33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33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33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33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33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33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33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33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33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33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33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33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33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33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33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33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33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33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33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33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33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33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33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33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33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33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33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33">
        <f t="shared" si="4"/>
        <v>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33">
        <f t="shared" si="4"/>
        <v>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33">
        <f t="shared" si="4"/>
        <v>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33">
        <f t="shared" si="4"/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33">
        <f t="shared" si="4"/>
        <v>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33">
        <f t="shared" si="4"/>
        <v>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33">
        <f t="shared" si="4"/>
        <v>0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33">
        <f t="shared" si="4"/>
        <v>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33">
        <f t="shared" si="4"/>
        <v>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33">
        <f t="shared" si="4"/>
        <v>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33">
        <f t="shared" si="4"/>
        <v>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33">
        <f t="shared" si="4"/>
        <v>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33">
        <f t="shared" si="4"/>
        <v>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9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9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9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9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9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9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9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9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9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9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9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9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9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9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9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9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9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9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9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9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9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9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9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9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9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9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9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9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9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9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9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9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9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9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9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9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9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9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9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9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9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9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9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9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9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9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9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9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9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9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9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9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9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9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9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9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9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9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9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9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9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9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9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9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9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9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9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9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9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9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9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9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9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9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9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9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9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9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9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9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9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9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9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9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9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9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9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9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9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9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9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9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9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9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9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9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9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9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9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9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9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9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9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9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9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9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9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9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9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9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9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9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9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9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9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9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9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9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D1:O1"/>
    <mergeCell ref="P1:S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5.22"/>
    <col customWidth="1" min="3" max="3" width="13.22"/>
    <col customWidth="1" min="4" max="5" width="11.0"/>
    <col customWidth="1" min="6" max="6" width="11.11"/>
    <col customWidth="1" min="7" max="7" width="10.33"/>
    <col customWidth="1" min="8" max="8" width="10.67"/>
    <col customWidth="1" min="9" max="9" width="10.22"/>
    <col customWidth="1" min="10" max="11" width="10.0"/>
    <col customWidth="1" min="12" max="12" width="11.0"/>
    <col customWidth="1" min="13" max="13" width="12.11"/>
    <col customWidth="1" min="14" max="14" width="7.56"/>
    <col customWidth="1" min="15" max="16" width="11.89"/>
    <col customWidth="1" min="17" max="17" width="9.56"/>
    <col customWidth="1" min="18" max="18" width="11.11"/>
    <col customWidth="1" min="19" max="19" width="10.33"/>
    <col customWidth="1" min="20" max="26" width="8.33"/>
  </cols>
  <sheetData>
    <row r="1">
      <c r="A1" s="2"/>
      <c r="B1" s="53"/>
      <c r="C1" s="53"/>
      <c r="D1" s="53"/>
      <c r="E1" s="3">
        <v>2025.0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>
        <v>2026.0</v>
      </c>
      <c r="R1" s="4"/>
      <c r="S1" s="4"/>
      <c r="T1" s="5"/>
      <c r="U1" s="2"/>
      <c r="V1" s="2"/>
      <c r="W1" s="2"/>
      <c r="X1" s="2"/>
      <c r="Y1" s="2"/>
      <c r="Z1" s="2"/>
    </row>
    <row r="2">
      <c r="A2" s="2"/>
      <c r="B2" s="53"/>
      <c r="C2" s="53"/>
      <c r="D2" s="53"/>
      <c r="E2" s="6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6" t="s">
        <v>1</v>
      </c>
      <c r="R2" s="7" t="s">
        <v>2</v>
      </c>
      <c r="S2" s="7" t="s">
        <v>3</v>
      </c>
      <c r="T2" s="7" t="s">
        <v>4</v>
      </c>
      <c r="U2" s="2"/>
      <c r="V2" s="2"/>
      <c r="W2" s="2"/>
      <c r="X2" s="2"/>
      <c r="Y2" s="2"/>
      <c r="Z2" s="2"/>
    </row>
    <row r="3">
      <c r="A3" s="25"/>
      <c r="B3" s="31"/>
      <c r="C3" s="45" t="s">
        <v>160</v>
      </c>
      <c r="D3" s="31">
        <f>E3+F3+G3+H3+I3+J3+K3+L3+M3+N3+O3+P3+Q3+R3+S3+T3</f>
        <v>47000</v>
      </c>
      <c r="E3" s="31">
        <f>SUM(E4:E134)</f>
        <v>0</v>
      </c>
      <c r="F3" s="31">
        <f t="shared" ref="F3:S3" si="1">SUM(F4:F133)</f>
        <v>0</v>
      </c>
      <c r="G3" s="31">
        <f t="shared" si="1"/>
        <v>0</v>
      </c>
      <c r="H3" s="31">
        <f t="shared" si="1"/>
        <v>0</v>
      </c>
      <c r="I3" s="31">
        <f t="shared" si="1"/>
        <v>0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47000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/>
      <c r="U3" s="25"/>
      <c r="V3" s="25"/>
      <c r="W3" s="25"/>
      <c r="X3" s="25"/>
      <c r="Y3" s="25"/>
      <c r="Z3" s="25"/>
    </row>
    <row r="4">
      <c r="A4" s="9"/>
      <c r="B4" s="101" t="s">
        <v>161</v>
      </c>
      <c r="C4" s="15"/>
      <c r="D4" s="15">
        <f>E5+F5+G5+H5+I4+J4+K4+L4+M5+N5+O5+P5+Q5+R5+S5+T5</f>
        <v>47000</v>
      </c>
      <c r="E4" s="56"/>
      <c r="F4" s="55"/>
      <c r="G4" s="56"/>
      <c r="H4" s="56"/>
      <c r="I4" s="10"/>
      <c r="J4" s="10"/>
      <c r="K4" s="10"/>
      <c r="L4" s="10"/>
      <c r="M4" s="55"/>
      <c r="N4" s="55"/>
      <c r="O4" s="55"/>
      <c r="P4" s="55"/>
      <c r="Q4" s="55"/>
      <c r="R4" s="55"/>
      <c r="S4" s="55"/>
      <c r="T4" s="55"/>
      <c r="U4" s="9"/>
      <c r="V4" s="9"/>
      <c r="W4" s="9"/>
      <c r="X4" s="9"/>
      <c r="Y4" s="9"/>
      <c r="Z4" s="9"/>
    </row>
    <row r="5">
      <c r="A5" s="9"/>
      <c r="B5" s="102" t="s">
        <v>162</v>
      </c>
      <c r="C5" s="10"/>
      <c r="D5" s="15">
        <f t="shared" ref="D5:D67" si="2">E6+F6+G6+H6+I6+J6+K6+L6+M6+N6+O6+P6+Q6+R6+S6+T6</f>
        <v>0</v>
      </c>
      <c r="E5" s="14"/>
      <c r="F5" s="15"/>
      <c r="G5" s="10">
        <v>0.0</v>
      </c>
      <c r="H5" s="15"/>
      <c r="I5" s="10"/>
      <c r="J5" s="10"/>
      <c r="K5" s="10"/>
      <c r="L5" s="10"/>
      <c r="M5" s="10">
        <v>47000.0</v>
      </c>
      <c r="N5" s="15"/>
      <c r="O5" s="14"/>
      <c r="P5" s="15"/>
      <c r="Q5" s="15"/>
      <c r="R5" s="15"/>
      <c r="S5" s="15"/>
      <c r="T5" s="15"/>
      <c r="U5" s="9"/>
      <c r="V5" s="9"/>
      <c r="W5" s="9"/>
      <c r="X5" s="9"/>
      <c r="Y5" s="9"/>
      <c r="Z5" s="9"/>
    </row>
    <row r="6">
      <c r="A6" s="9"/>
      <c r="B6" s="10" t="s">
        <v>163</v>
      </c>
      <c r="C6" s="10">
        <v>16500.0</v>
      </c>
      <c r="D6" s="15">
        <f t="shared" si="2"/>
        <v>0</v>
      </c>
      <c r="E6" s="15"/>
      <c r="F6" s="15"/>
      <c r="G6" s="14"/>
      <c r="H6" s="15"/>
      <c r="I6" s="10"/>
      <c r="J6" s="10"/>
      <c r="K6" s="10"/>
      <c r="L6" s="10"/>
      <c r="M6" s="14"/>
      <c r="N6" s="15"/>
      <c r="O6" s="15"/>
      <c r="P6" s="14"/>
      <c r="Q6" s="15"/>
      <c r="R6" s="15"/>
      <c r="S6" s="14"/>
      <c r="T6" s="14"/>
      <c r="U6" s="9"/>
      <c r="V6" s="9"/>
      <c r="W6" s="9"/>
      <c r="X6" s="9"/>
      <c r="Y6" s="9"/>
      <c r="Z6" s="9"/>
    </row>
    <row r="7">
      <c r="A7" s="9"/>
      <c r="B7" s="10" t="s">
        <v>164</v>
      </c>
      <c r="C7" s="10">
        <v>8800.0</v>
      </c>
      <c r="D7" s="15">
        <f t="shared" si="2"/>
        <v>0</v>
      </c>
      <c r="E7" s="15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9"/>
      <c r="V7" s="9"/>
      <c r="W7" s="9"/>
      <c r="X7" s="9"/>
      <c r="Y7" s="9"/>
      <c r="Z7" s="9"/>
    </row>
    <row r="8">
      <c r="A8" s="18"/>
      <c r="B8" s="10" t="s">
        <v>165</v>
      </c>
      <c r="C8" s="10">
        <v>4400.0</v>
      </c>
      <c r="D8" s="15">
        <f t="shared" si="2"/>
        <v>0</v>
      </c>
      <c r="E8" s="15"/>
      <c r="F8" s="15"/>
      <c r="G8" s="15"/>
      <c r="H8" s="15"/>
      <c r="I8" s="15"/>
      <c r="J8" s="15"/>
      <c r="K8" s="15"/>
      <c r="L8" s="14"/>
      <c r="M8" s="15"/>
      <c r="N8" s="15"/>
      <c r="O8" s="15"/>
      <c r="P8" s="15"/>
      <c r="Q8" s="15"/>
      <c r="R8" s="15"/>
      <c r="S8" s="15"/>
      <c r="T8" s="15"/>
      <c r="U8" s="9"/>
      <c r="V8" s="9"/>
      <c r="W8" s="9"/>
      <c r="X8" s="9"/>
      <c r="Y8" s="9"/>
      <c r="Z8" s="9"/>
    </row>
    <row r="9">
      <c r="A9" s="9"/>
      <c r="B9" s="10" t="s">
        <v>166</v>
      </c>
      <c r="C9" s="10">
        <v>21466.5</v>
      </c>
      <c r="D9" s="15">
        <f t="shared" si="2"/>
        <v>0</v>
      </c>
      <c r="E9" s="15"/>
      <c r="F9" s="15"/>
      <c r="G9" s="15"/>
      <c r="H9" s="15"/>
      <c r="I9" s="15"/>
      <c r="J9" s="15"/>
      <c r="K9" s="15"/>
      <c r="L9" s="14"/>
      <c r="M9" s="15"/>
      <c r="N9" s="15"/>
      <c r="O9" s="15"/>
      <c r="P9" s="15"/>
      <c r="Q9" s="15"/>
      <c r="R9" s="15"/>
      <c r="S9" s="15"/>
      <c r="T9" s="15"/>
      <c r="U9" s="9"/>
      <c r="V9" s="9"/>
      <c r="W9" s="9"/>
      <c r="X9" s="9"/>
      <c r="Y9" s="9"/>
      <c r="Z9" s="9"/>
    </row>
    <row r="10">
      <c r="A10" s="9"/>
      <c r="B10" s="10" t="s">
        <v>167</v>
      </c>
      <c r="C10" s="10">
        <v>5086.4</v>
      </c>
      <c r="D10" s="15">
        <f t="shared" si="2"/>
        <v>0</v>
      </c>
      <c r="E10" s="15"/>
      <c r="F10" s="103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9"/>
      <c r="V10" s="9"/>
      <c r="W10" s="9"/>
      <c r="X10" s="9"/>
      <c r="Y10" s="9"/>
      <c r="Z10" s="9"/>
    </row>
    <row r="11">
      <c r="A11" s="9"/>
      <c r="B11" s="10" t="s">
        <v>168</v>
      </c>
      <c r="C11" s="69">
        <v>12000.0</v>
      </c>
      <c r="D11" s="15">
        <f t="shared" si="2"/>
        <v>0</v>
      </c>
      <c r="E11" s="15"/>
      <c r="F11" s="14"/>
      <c r="G11" s="14"/>
      <c r="H11" s="14"/>
      <c r="I11" s="14"/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9"/>
      <c r="V11" s="9"/>
      <c r="W11" s="9"/>
      <c r="X11" s="9"/>
      <c r="Y11" s="9"/>
      <c r="Z11" s="9"/>
    </row>
    <row r="12">
      <c r="A12" s="9"/>
      <c r="B12" s="15"/>
      <c r="C12" s="15"/>
      <c r="D12" s="15">
        <f t="shared" si="2"/>
        <v>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9"/>
      <c r="V12" s="9"/>
      <c r="W12" s="9"/>
      <c r="X12" s="9"/>
      <c r="Y12" s="9"/>
      <c r="Z12" s="9"/>
    </row>
    <row r="13">
      <c r="A13" s="9"/>
      <c r="B13" s="15"/>
      <c r="C13" s="15"/>
      <c r="D13" s="15">
        <f t="shared" si="2"/>
        <v>0</v>
      </c>
      <c r="E13" s="15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9"/>
      <c r="V13" s="9"/>
      <c r="W13" s="9"/>
      <c r="X13" s="9"/>
      <c r="Y13" s="9"/>
      <c r="Z13" s="9"/>
    </row>
    <row r="14">
      <c r="A14" s="9"/>
      <c r="B14" s="15"/>
      <c r="C14" s="15"/>
      <c r="D14" s="15">
        <f t="shared" si="2"/>
        <v>0</v>
      </c>
      <c r="E14" s="15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9"/>
      <c r="V14" s="9"/>
      <c r="W14" s="9"/>
      <c r="X14" s="9"/>
      <c r="Y14" s="9"/>
      <c r="Z14" s="9"/>
    </row>
    <row r="15">
      <c r="A15" s="9"/>
      <c r="B15" s="14"/>
      <c r="C15" s="15"/>
      <c r="D15" s="15">
        <f t="shared" si="2"/>
        <v>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9"/>
      <c r="V15" s="9"/>
      <c r="W15" s="9"/>
      <c r="X15" s="9"/>
      <c r="Y15" s="9"/>
      <c r="Z15" s="9"/>
    </row>
    <row r="16">
      <c r="A16" s="9"/>
      <c r="B16" s="15"/>
      <c r="C16" s="15"/>
      <c r="D16" s="15">
        <f t="shared" si="2"/>
        <v>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9"/>
      <c r="V16" s="9"/>
      <c r="W16" s="9"/>
      <c r="X16" s="9"/>
      <c r="Y16" s="9"/>
      <c r="Z16" s="9"/>
    </row>
    <row r="17">
      <c r="A17" s="9"/>
      <c r="B17" s="15"/>
      <c r="C17" s="15"/>
      <c r="D17" s="15">
        <f t="shared" si="2"/>
        <v>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9"/>
      <c r="V17" s="9"/>
      <c r="W17" s="9"/>
      <c r="X17" s="9"/>
      <c r="Y17" s="9"/>
      <c r="Z17" s="9"/>
    </row>
    <row r="18">
      <c r="A18" s="9"/>
      <c r="B18" s="15"/>
      <c r="C18" s="15"/>
      <c r="D18" s="15">
        <f t="shared" si="2"/>
        <v>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9"/>
      <c r="V18" s="9"/>
      <c r="W18" s="9"/>
      <c r="X18" s="9"/>
      <c r="Y18" s="9"/>
      <c r="Z18" s="9"/>
    </row>
    <row r="19">
      <c r="A19" s="9"/>
      <c r="B19" s="15"/>
      <c r="C19" s="15"/>
      <c r="D19" s="15">
        <f t="shared" si="2"/>
        <v>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9"/>
      <c r="V19" s="9"/>
      <c r="W19" s="9"/>
      <c r="X19" s="9"/>
      <c r="Y19" s="9"/>
      <c r="Z19" s="9"/>
    </row>
    <row r="20" ht="15.75" customHeight="1">
      <c r="A20" s="9"/>
      <c r="B20" s="15"/>
      <c r="C20" s="15"/>
      <c r="D20" s="15">
        <f t="shared" si="2"/>
        <v>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9"/>
      <c r="V20" s="9"/>
      <c r="W20" s="9"/>
      <c r="X20" s="9"/>
      <c r="Y20" s="9"/>
      <c r="Z20" s="9"/>
    </row>
    <row r="21" ht="15.75" customHeight="1">
      <c r="A21" s="9"/>
      <c r="B21" s="15"/>
      <c r="C21" s="15"/>
      <c r="D21" s="15">
        <f t="shared" si="2"/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9"/>
      <c r="V21" s="9"/>
      <c r="W21" s="9"/>
      <c r="X21" s="9"/>
      <c r="Y21" s="9"/>
      <c r="Z21" s="9"/>
    </row>
    <row r="22" ht="15.75" customHeight="1">
      <c r="A22" s="9"/>
      <c r="B22" s="15"/>
      <c r="C22" s="15"/>
      <c r="D22" s="15">
        <f t="shared" si="2"/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9"/>
      <c r="V22" s="9"/>
      <c r="W22" s="9"/>
      <c r="X22" s="9"/>
      <c r="Y22" s="9"/>
      <c r="Z22" s="9"/>
    </row>
    <row r="23" ht="15.75" customHeight="1">
      <c r="A23" s="9"/>
      <c r="B23" s="15"/>
      <c r="C23" s="15"/>
      <c r="D23" s="15">
        <f t="shared" si="2"/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9"/>
      <c r="V23" s="9"/>
      <c r="W23" s="9"/>
      <c r="X23" s="9"/>
      <c r="Y23" s="9"/>
      <c r="Z23" s="9"/>
    </row>
    <row r="24" ht="15.75" customHeight="1">
      <c r="A24" s="9"/>
      <c r="B24" s="15"/>
      <c r="C24" s="15"/>
      <c r="D24" s="15">
        <f t="shared" si="2"/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9"/>
      <c r="V24" s="9"/>
      <c r="W24" s="9"/>
      <c r="X24" s="9"/>
      <c r="Y24" s="9"/>
      <c r="Z24" s="9"/>
    </row>
    <row r="25" ht="15.75" customHeight="1">
      <c r="A25" s="9"/>
      <c r="B25" s="15"/>
      <c r="C25" s="15"/>
      <c r="D25" s="15">
        <f t="shared" si="2"/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9"/>
      <c r="V25" s="9"/>
      <c r="W25" s="9"/>
      <c r="X25" s="9"/>
      <c r="Y25" s="9"/>
      <c r="Z25" s="9"/>
    </row>
    <row r="26" ht="15.75" customHeight="1">
      <c r="A26" s="9"/>
      <c r="B26" s="15"/>
      <c r="C26" s="15"/>
      <c r="D26" s="15">
        <f t="shared" si="2"/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9"/>
      <c r="V26" s="9"/>
      <c r="W26" s="9"/>
      <c r="X26" s="9"/>
      <c r="Y26" s="9"/>
      <c r="Z26" s="9"/>
    </row>
    <row r="27" ht="15.75" customHeight="1">
      <c r="A27" s="9"/>
      <c r="B27" s="15"/>
      <c r="C27" s="15"/>
      <c r="D27" s="15">
        <f t="shared" si="2"/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9"/>
      <c r="V27" s="9"/>
      <c r="W27" s="9"/>
      <c r="X27" s="9"/>
      <c r="Y27" s="9"/>
      <c r="Z27" s="9"/>
    </row>
    <row r="28" ht="15.75" customHeight="1">
      <c r="A28" s="9"/>
      <c r="B28" s="15"/>
      <c r="C28" s="15"/>
      <c r="D28" s="15">
        <f t="shared" si="2"/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9"/>
      <c r="V28" s="9"/>
      <c r="W28" s="9"/>
      <c r="X28" s="9"/>
      <c r="Y28" s="9"/>
      <c r="Z28" s="9"/>
    </row>
    <row r="29" ht="15.75" customHeight="1">
      <c r="A29" s="9"/>
      <c r="B29" s="15"/>
      <c r="C29" s="15"/>
      <c r="D29" s="15">
        <f t="shared" si="2"/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9"/>
      <c r="V29" s="9"/>
      <c r="W29" s="9"/>
      <c r="X29" s="9"/>
      <c r="Y29" s="9"/>
      <c r="Z29" s="9"/>
    </row>
    <row r="30" ht="15.75" customHeight="1">
      <c r="A30" s="9"/>
      <c r="B30" s="15"/>
      <c r="C30" s="15"/>
      <c r="D30" s="15">
        <f t="shared" si="2"/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9"/>
      <c r="V30" s="9"/>
      <c r="W30" s="9"/>
      <c r="X30" s="9"/>
      <c r="Y30" s="9"/>
      <c r="Z30" s="9"/>
    </row>
    <row r="31" ht="15.75" customHeight="1">
      <c r="A31" s="9"/>
      <c r="B31" s="15"/>
      <c r="C31" s="15"/>
      <c r="D31" s="15">
        <f t="shared" si="2"/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9"/>
      <c r="V31" s="9"/>
      <c r="W31" s="9"/>
      <c r="X31" s="9"/>
      <c r="Y31" s="9"/>
      <c r="Z31" s="9"/>
    </row>
    <row r="32" ht="15.75" customHeight="1">
      <c r="A32" s="9"/>
      <c r="B32" s="15"/>
      <c r="C32" s="15"/>
      <c r="D32" s="15">
        <f t="shared" si="2"/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9"/>
      <c r="V32" s="9"/>
      <c r="W32" s="9"/>
      <c r="X32" s="9"/>
      <c r="Y32" s="9"/>
      <c r="Z32" s="9"/>
    </row>
    <row r="33" ht="15.75" customHeight="1">
      <c r="A33" s="9"/>
      <c r="B33" s="15"/>
      <c r="C33" s="15"/>
      <c r="D33" s="15">
        <f t="shared" si="2"/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9"/>
      <c r="V33" s="9"/>
      <c r="W33" s="9"/>
      <c r="X33" s="9"/>
      <c r="Y33" s="9"/>
      <c r="Z33" s="9"/>
    </row>
    <row r="34" ht="15.75" customHeight="1">
      <c r="A34" s="9"/>
      <c r="B34" s="15"/>
      <c r="C34" s="15"/>
      <c r="D34" s="15">
        <f t="shared" si="2"/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9"/>
      <c r="V34" s="9"/>
      <c r="W34" s="9"/>
      <c r="X34" s="9"/>
      <c r="Y34" s="9"/>
      <c r="Z34" s="9"/>
    </row>
    <row r="35" ht="15.75" customHeight="1">
      <c r="A35" s="9"/>
      <c r="B35" s="15"/>
      <c r="C35" s="15"/>
      <c r="D35" s="15">
        <f t="shared" si="2"/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9"/>
      <c r="V35" s="9"/>
      <c r="W35" s="9"/>
      <c r="X35" s="9"/>
      <c r="Y35" s="9"/>
      <c r="Z35" s="9"/>
    </row>
    <row r="36" ht="15.75" customHeight="1">
      <c r="A36" s="9"/>
      <c r="B36" s="15"/>
      <c r="C36" s="15"/>
      <c r="D36" s="15">
        <f t="shared" si="2"/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9"/>
      <c r="V36" s="9"/>
      <c r="W36" s="9"/>
      <c r="X36" s="9"/>
      <c r="Y36" s="9"/>
      <c r="Z36" s="9"/>
    </row>
    <row r="37" ht="15.75" customHeight="1">
      <c r="A37" s="9"/>
      <c r="B37" s="15"/>
      <c r="C37" s="15"/>
      <c r="D37" s="15">
        <f t="shared" si="2"/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9"/>
      <c r="V37" s="9"/>
      <c r="W37" s="9"/>
      <c r="X37" s="9"/>
      <c r="Y37" s="9"/>
      <c r="Z37" s="9"/>
    </row>
    <row r="38" ht="15.75" customHeight="1">
      <c r="A38" s="9"/>
      <c r="B38" s="15"/>
      <c r="C38" s="15"/>
      <c r="D38" s="15">
        <f t="shared" si="2"/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9"/>
      <c r="V38" s="9"/>
      <c r="W38" s="9"/>
      <c r="X38" s="9"/>
      <c r="Y38" s="9"/>
      <c r="Z38" s="9"/>
    </row>
    <row r="39" ht="15.75" customHeight="1">
      <c r="A39" s="9"/>
      <c r="B39" s="15"/>
      <c r="C39" s="15"/>
      <c r="D39" s="15">
        <f t="shared" si="2"/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9"/>
      <c r="V39" s="9"/>
      <c r="W39" s="9"/>
      <c r="X39" s="9"/>
      <c r="Y39" s="9"/>
      <c r="Z39" s="9"/>
    </row>
    <row r="40" ht="15.75" customHeight="1">
      <c r="A40" s="9"/>
      <c r="B40" s="15"/>
      <c r="C40" s="15"/>
      <c r="D40" s="15">
        <f t="shared" si="2"/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9"/>
      <c r="V40" s="9"/>
      <c r="W40" s="9"/>
      <c r="X40" s="9"/>
      <c r="Y40" s="9"/>
      <c r="Z40" s="9"/>
    </row>
    <row r="41" ht="15.75" customHeight="1">
      <c r="A41" s="9"/>
      <c r="B41" s="15"/>
      <c r="C41" s="15"/>
      <c r="D41" s="15">
        <f t="shared" si="2"/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9"/>
      <c r="V41" s="9"/>
      <c r="W41" s="9"/>
      <c r="X41" s="9"/>
      <c r="Y41" s="9"/>
      <c r="Z41" s="9"/>
    </row>
    <row r="42" ht="15.75" customHeight="1">
      <c r="A42" s="9"/>
      <c r="B42" s="15"/>
      <c r="C42" s="15"/>
      <c r="D42" s="15">
        <f t="shared" si="2"/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9"/>
      <c r="V42" s="9"/>
      <c r="W42" s="9"/>
      <c r="X42" s="9"/>
      <c r="Y42" s="9"/>
      <c r="Z42" s="9"/>
    </row>
    <row r="43" ht="15.75" customHeight="1">
      <c r="A43" s="9"/>
      <c r="B43" s="15"/>
      <c r="C43" s="15"/>
      <c r="D43" s="15">
        <f t="shared" si="2"/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9"/>
      <c r="V43" s="9"/>
      <c r="W43" s="9"/>
      <c r="X43" s="9"/>
      <c r="Y43" s="9"/>
      <c r="Z43" s="9"/>
    </row>
    <row r="44" ht="15.75" customHeight="1">
      <c r="A44" s="9"/>
      <c r="B44" s="15"/>
      <c r="C44" s="15"/>
      <c r="D44" s="15">
        <f t="shared" si="2"/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9"/>
      <c r="V44" s="9"/>
      <c r="W44" s="9"/>
      <c r="X44" s="9"/>
      <c r="Y44" s="9"/>
      <c r="Z44" s="9"/>
    </row>
    <row r="45" ht="15.75" customHeight="1">
      <c r="A45" s="9"/>
      <c r="B45" s="15"/>
      <c r="C45" s="15"/>
      <c r="D45" s="15">
        <f t="shared" si="2"/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9"/>
      <c r="V45" s="9"/>
      <c r="W45" s="9"/>
      <c r="X45" s="9"/>
      <c r="Y45" s="9"/>
      <c r="Z45" s="9"/>
    </row>
    <row r="46" ht="15.75" customHeight="1">
      <c r="A46" s="9"/>
      <c r="B46" s="15"/>
      <c r="C46" s="15"/>
      <c r="D46" s="15">
        <f t="shared" si="2"/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9"/>
      <c r="V46" s="9"/>
      <c r="W46" s="9"/>
      <c r="X46" s="9"/>
      <c r="Y46" s="9"/>
      <c r="Z46" s="9"/>
    </row>
    <row r="47" ht="15.75" customHeight="1">
      <c r="A47" s="9"/>
      <c r="B47" s="15"/>
      <c r="C47" s="15"/>
      <c r="D47" s="15">
        <f t="shared" si="2"/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9"/>
      <c r="V47" s="9"/>
      <c r="W47" s="9"/>
      <c r="X47" s="9"/>
      <c r="Y47" s="9"/>
      <c r="Z47" s="9"/>
    </row>
    <row r="48" ht="15.75" customHeight="1">
      <c r="A48" s="9"/>
      <c r="B48" s="15"/>
      <c r="C48" s="15"/>
      <c r="D48" s="15">
        <f t="shared" si="2"/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9"/>
      <c r="V48" s="9"/>
      <c r="W48" s="9"/>
      <c r="X48" s="9"/>
      <c r="Y48" s="9"/>
      <c r="Z48" s="9"/>
    </row>
    <row r="49" ht="15.75" customHeight="1">
      <c r="A49" s="9"/>
      <c r="B49" s="15"/>
      <c r="C49" s="15"/>
      <c r="D49" s="15">
        <f t="shared" si="2"/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9"/>
      <c r="V49" s="9"/>
      <c r="W49" s="9"/>
      <c r="X49" s="9"/>
      <c r="Y49" s="9"/>
      <c r="Z49" s="9"/>
    </row>
    <row r="50" ht="15.75" customHeight="1">
      <c r="A50" s="9"/>
      <c r="B50" s="15"/>
      <c r="C50" s="15"/>
      <c r="D50" s="15">
        <f t="shared" si="2"/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9"/>
      <c r="V50" s="9"/>
      <c r="W50" s="9"/>
      <c r="X50" s="9"/>
      <c r="Y50" s="9"/>
      <c r="Z50" s="9"/>
    </row>
    <row r="51" ht="15.75" customHeight="1">
      <c r="A51" s="9"/>
      <c r="B51" s="15"/>
      <c r="C51" s="15"/>
      <c r="D51" s="15">
        <f t="shared" si="2"/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9"/>
      <c r="V51" s="9"/>
      <c r="W51" s="9"/>
      <c r="X51" s="9"/>
      <c r="Y51" s="9"/>
      <c r="Z51" s="9"/>
    </row>
    <row r="52" ht="15.75" customHeight="1">
      <c r="A52" s="9"/>
      <c r="B52" s="15"/>
      <c r="C52" s="15"/>
      <c r="D52" s="15">
        <f t="shared" si="2"/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9"/>
      <c r="V52" s="9"/>
      <c r="W52" s="9"/>
      <c r="X52" s="9"/>
      <c r="Y52" s="9"/>
      <c r="Z52" s="9"/>
    </row>
    <row r="53" ht="15.75" customHeight="1">
      <c r="A53" s="9"/>
      <c r="B53" s="15"/>
      <c r="C53" s="15"/>
      <c r="D53" s="15">
        <f t="shared" si="2"/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9"/>
      <c r="V53" s="9"/>
      <c r="W53" s="9"/>
      <c r="X53" s="9"/>
      <c r="Y53" s="9"/>
      <c r="Z53" s="9"/>
    </row>
    <row r="54" ht="15.75" customHeight="1">
      <c r="A54" s="9"/>
      <c r="B54" s="15"/>
      <c r="C54" s="15"/>
      <c r="D54" s="15">
        <f t="shared" si="2"/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9"/>
      <c r="V54" s="9"/>
      <c r="W54" s="9"/>
      <c r="X54" s="9"/>
      <c r="Y54" s="9"/>
      <c r="Z54" s="9"/>
    </row>
    <row r="55" ht="15.75" customHeight="1">
      <c r="A55" s="9"/>
      <c r="B55" s="15"/>
      <c r="C55" s="15"/>
      <c r="D55" s="15">
        <f t="shared" si="2"/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9"/>
      <c r="V55" s="9"/>
      <c r="W55" s="9"/>
      <c r="X55" s="9"/>
      <c r="Y55" s="9"/>
      <c r="Z55" s="9"/>
    </row>
    <row r="56" ht="15.75" customHeight="1">
      <c r="A56" s="9"/>
      <c r="B56" s="15"/>
      <c r="C56" s="15"/>
      <c r="D56" s="15">
        <f t="shared" si="2"/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9"/>
      <c r="V56" s="9"/>
      <c r="W56" s="9"/>
      <c r="X56" s="9"/>
      <c r="Y56" s="9"/>
      <c r="Z56" s="9"/>
    </row>
    <row r="57" ht="15.75" customHeight="1">
      <c r="A57" s="9"/>
      <c r="B57" s="15"/>
      <c r="C57" s="15"/>
      <c r="D57" s="15">
        <f t="shared" si="2"/>
        <v>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9"/>
      <c r="V57" s="9"/>
      <c r="W57" s="9"/>
      <c r="X57" s="9"/>
      <c r="Y57" s="9"/>
      <c r="Z57" s="9"/>
    </row>
    <row r="58" ht="15.75" customHeight="1">
      <c r="A58" s="9"/>
      <c r="B58" s="15"/>
      <c r="C58" s="15"/>
      <c r="D58" s="15">
        <f t="shared" si="2"/>
        <v>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9"/>
      <c r="V58" s="9"/>
      <c r="W58" s="9"/>
      <c r="X58" s="9"/>
      <c r="Y58" s="9"/>
      <c r="Z58" s="9"/>
    </row>
    <row r="59" ht="15.75" customHeight="1">
      <c r="A59" s="9"/>
      <c r="B59" s="15"/>
      <c r="C59" s="15"/>
      <c r="D59" s="15">
        <f t="shared" si="2"/>
        <v>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9"/>
      <c r="V59" s="9"/>
      <c r="W59" s="9"/>
      <c r="X59" s="9"/>
      <c r="Y59" s="9"/>
      <c r="Z59" s="9"/>
    </row>
    <row r="60" ht="15.75" customHeight="1">
      <c r="A60" s="9"/>
      <c r="B60" s="15"/>
      <c r="C60" s="15"/>
      <c r="D60" s="15">
        <f t="shared" si="2"/>
        <v>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9"/>
      <c r="V60" s="9"/>
      <c r="W60" s="9"/>
      <c r="X60" s="9"/>
      <c r="Y60" s="9"/>
      <c r="Z60" s="9"/>
    </row>
    <row r="61" ht="15.75" customHeight="1">
      <c r="A61" s="9"/>
      <c r="B61" s="15"/>
      <c r="C61" s="15"/>
      <c r="D61" s="15">
        <f t="shared" si="2"/>
        <v>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9"/>
      <c r="V61" s="9"/>
      <c r="W61" s="9"/>
      <c r="X61" s="9"/>
      <c r="Y61" s="9"/>
      <c r="Z61" s="9"/>
    </row>
    <row r="62" ht="15.75" customHeight="1">
      <c r="A62" s="9"/>
      <c r="B62" s="15"/>
      <c r="C62" s="15"/>
      <c r="D62" s="15">
        <f t="shared" si="2"/>
        <v>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9"/>
      <c r="V62" s="9"/>
      <c r="W62" s="9"/>
      <c r="X62" s="9"/>
      <c r="Y62" s="9"/>
      <c r="Z62" s="9"/>
    </row>
    <row r="63" ht="15.75" customHeight="1">
      <c r="A63" s="9"/>
      <c r="B63" s="15"/>
      <c r="C63" s="15"/>
      <c r="D63" s="15">
        <f t="shared" si="2"/>
        <v>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9"/>
      <c r="V63" s="9"/>
      <c r="W63" s="9"/>
      <c r="X63" s="9"/>
      <c r="Y63" s="9"/>
      <c r="Z63" s="9"/>
    </row>
    <row r="64" ht="15.75" customHeight="1">
      <c r="A64" s="9"/>
      <c r="B64" s="15"/>
      <c r="C64" s="15"/>
      <c r="D64" s="15">
        <f t="shared" si="2"/>
        <v>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9"/>
      <c r="V64" s="9"/>
      <c r="W64" s="9"/>
      <c r="X64" s="9"/>
      <c r="Y64" s="9"/>
      <c r="Z64" s="9"/>
    </row>
    <row r="65" ht="15.75" customHeight="1">
      <c r="A65" s="9"/>
      <c r="B65" s="15"/>
      <c r="C65" s="15"/>
      <c r="D65" s="15">
        <f t="shared" si="2"/>
        <v>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9"/>
      <c r="V65" s="9"/>
      <c r="W65" s="9"/>
      <c r="X65" s="9"/>
      <c r="Y65" s="9"/>
      <c r="Z65" s="9"/>
    </row>
    <row r="66" ht="15.75" customHeight="1">
      <c r="A66" s="9"/>
      <c r="B66" s="15"/>
      <c r="C66" s="15"/>
      <c r="D66" s="15">
        <f t="shared" si="2"/>
        <v>0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9"/>
      <c r="V66" s="9"/>
      <c r="W66" s="9"/>
      <c r="X66" s="9"/>
      <c r="Y66" s="9"/>
      <c r="Z66" s="9"/>
    </row>
    <row r="67" ht="15.75" customHeight="1">
      <c r="A67" s="9"/>
      <c r="B67" s="15"/>
      <c r="C67" s="15"/>
      <c r="D67" s="15">
        <f t="shared" si="2"/>
        <v>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9"/>
      <c r="V67" s="9"/>
      <c r="W67" s="9"/>
      <c r="X67" s="9"/>
      <c r="Y67" s="9"/>
      <c r="Z67" s="9"/>
    </row>
    <row r="68" ht="15.75" customHeight="1">
      <c r="A68" s="9"/>
      <c r="B68" s="11"/>
      <c r="C68" s="11"/>
      <c r="D68" s="11"/>
      <c r="E68" s="15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E1:P1"/>
    <mergeCell ref="Q1:T1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2024-09-13T09:28:39Z</dcterms:created>
  <dc:creator>Antonio Russo</dc:creator>
</cp:coreProperties>
</file>